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9842A33D0B26A6E8BE2028E744DC5617DE27E786" xr6:coauthVersionLast="47" xr6:coauthVersionMax="47" xr10:uidLastSave="{00000000-0000-0000-0000-000000000000}"/>
  <bookViews>
    <workbookView xWindow="0" yWindow="0" windowWidth="16384" windowHeight="8192" tabRatio="500" activeTab="8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C30" i="8"/>
  <c r="C29" i="8"/>
  <c r="C28" i="8"/>
  <c r="C31" i="7"/>
  <c r="C30" i="7"/>
  <c r="C29" i="7"/>
  <c r="C28" i="7"/>
  <c r="C33" i="6"/>
  <c r="C32" i="6"/>
  <c r="C31" i="6"/>
  <c r="C30" i="6"/>
  <c r="C29" i="6"/>
  <c r="C28" i="6"/>
  <c r="F28" i="5"/>
  <c r="E28" i="5"/>
  <c r="D28" i="5"/>
  <c r="G27" i="4"/>
  <c r="F27" i="4"/>
  <c r="E27" i="4"/>
  <c r="D27" i="4"/>
  <c r="J6" i="3"/>
  <c r="C6" i="4"/>
  <c r="J7" i="3"/>
  <c r="C7" i="4"/>
  <c r="J8" i="3"/>
  <c r="C8" i="4"/>
  <c r="J9" i="3"/>
  <c r="C9" i="4"/>
  <c r="J10" i="3"/>
  <c r="C10" i="4"/>
  <c r="J11" i="3"/>
  <c r="C11" i="4"/>
  <c r="J12" i="3"/>
  <c r="C12" i="4"/>
  <c r="J13" i="3"/>
  <c r="C13" i="4"/>
  <c r="J14" i="3"/>
  <c r="C14" i="4"/>
  <c r="J15" i="3"/>
  <c r="C15" i="4"/>
  <c r="J16" i="3"/>
  <c r="C16" i="4"/>
  <c r="J17" i="3"/>
  <c r="C17" i="4"/>
  <c r="J18" i="3"/>
  <c r="C18" i="4"/>
  <c r="J19" i="3"/>
  <c r="C19" i="4"/>
  <c r="J20" i="3"/>
  <c r="C20" i="4"/>
  <c r="J21" i="3"/>
  <c r="C21" i="4"/>
  <c r="J22" i="3"/>
  <c r="C22" i="4"/>
  <c r="J23" i="3"/>
  <c r="C23" i="4"/>
  <c r="C24" i="4"/>
  <c r="C25" i="4"/>
  <c r="C27" i="4"/>
  <c r="J24" i="3"/>
  <c r="J25" i="3"/>
  <c r="J27" i="3"/>
  <c r="I27" i="3"/>
  <c r="H27" i="3"/>
  <c r="G27" i="3"/>
  <c r="F27" i="3"/>
  <c r="E27" i="3"/>
  <c r="D27" i="3"/>
  <c r="C27" i="3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H17" i="1"/>
  <c r="D17" i="1"/>
  <c r="F5" i="1"/>
  <c r="D5" i="1"/>
</calcChain>
</file>

<file path=xl/sharedStrings.xml><?xml version="1.0" encoding="utf-8"?>
<sst xmlns="http://schemas.openxmlformats.org/spreadsheetml/2006/main" count="449" uniqueCount="247">
  <si>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</si>
  <si>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</si>
  <si>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</si>
  <si>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</si>
  <si>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</si>
  <si>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</si>
  <si>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</si>
  <si>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</si>
  <si>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</si>
  <si>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</si>
  <si>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</si>
  <si>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</si>
  <si>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</si>
  <si>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</si>
  <si>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</si>
  <si>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</si>
  <si>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</si>
  <si>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</si>
  <si>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</si>
  <si>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</si>
  <si>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</si>
  <si>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</si>
  <si>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</si>
  <si>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</si>
  <si>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</si>
  <si>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</si>
  <si>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</si>
  <si>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</si>
  <si>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</si>
  <si>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</si>
  <si>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</si>
  <si>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</si>
  <si>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</si>
  <si>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</si>
  <si>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</si>
  <si>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</si>
  <si>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</si>
  <si>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</si>
  <si>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</si>
  <si>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</si>
  <si>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</si>
  <si>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</si>
  <si>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</si>
  <si>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</si>
  <si>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</si>
  <si>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</si>
  <si>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</si>
  <si>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</si>
  <si>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</si>
  <si>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</si>
  <si>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</si>
  <si>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</si>
  <si>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</si>
  <si>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</si>
  <si>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</si>
  <si>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</si>
  <si>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Mumbai City</t>
  </si>
  <si>
    <t>30-06-2026</t>
  </si>
  <si>
    <t>Mumbai Suburban</t>
  </si>
  <si>
    <t>Thane</t>
  </si>
  <si>
    <t>Pune</t>
  </si>
  <si>
    <t>Nagpur</t>
  </si>
  <si>
    <t>Nashik</t>
  </si>
  <si>
    <t>Palghar</t>
  </si>
  <si>
    <t>Raigad</t>
  </si>
  <si>
    <t>Chhatrapati Sambhajinagar</t>
  </si>
  <si>
    <t>Solapur</t>
  </si>
  <si>
    <t>Kolhapur</t>
  </si>
  <si>
    <t>Sangli</t>
  </si>
  <si>
    <t>Satara</t>
  </si>
  <si>
    <t>Jalgaon</t>
  </si>
  <si>
    <t>Amravati</t>
  </si>
  <si>
    <t>Chandrapur</t>
  </si>
  <si>
    <t>Nanded</t>
  </si>
  <si>
    <t>Latur</t>
  </si>
  <si>
    <t>STATE TOTAL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</si>
  <si>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</si>
  <si>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</si>
  <si>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</si>
  <si>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</si>
  <si>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</si>
  <si>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</si>
  <si>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</si>
  <si>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</si>
  <si>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MPCB-authorized collection network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</si>
  <si>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</si>
  <si>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</si>
  <si>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</si>
  <si>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</si>
  <si>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</si>
  <si>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</si>
  <si>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</si>
  <si>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</si>
  <si>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Ecoreco</t>
  </si>
  <si>
    <t>MH-EW-001</t>
  </si>
  <si>
    <t>Mumbai</t>
  </si>
  <si>
    <t>31-03-2028</t>
  </si>
  <si>
    <t>RecycleKaro</t>
  </si>
  <si>
    <t>MH-EW-002</t>
  </si>
  <si>
    <t>BKE Recycling</t>
  </si>
  <si>
    <t>MH-EW-003</t>
  </si>
  <si>
    <t>31-03-2027</t>
  </si>
  <si>
    <t>Nagraj E-Waste Recycling</t>
  </si>
  <si>
    <t>MH-EW-004</t>
  </si>
  <si>
    <t>Greentech Recyclers</t>
  </si>
  <si>
    <t>MH-EW-005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</si>
  <si>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</si>
  <si>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</si>
  <si>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</si>
  <si>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</si>
  <si>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</si>
  <si>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</si>
  <si>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</si>
  <si>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</si>
  <si>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</si>
  <si>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Samsung India</t>
  </si>
  <si>
    <t>EPR-MH-001</t>
  </si>
  <si>
    <t>Compliant</t>
  </si>
  <si>
    <t>Yes</t>
  </si>
  <si>
    <t>No</t>
  </si>
  <si>
    <t>N/A</t>
  </si>
  <si>
    <t>Annual EPR target met (105%)</t>
  </si>
  <si>
    <t>LG Electronics</t>
  </si>
  <si>
    <t>EPR-MH-002</t>
  </si>
  <si>
    <t>HP India</t>
  </si>
  <si>
    <t>EPR-MH-003</t>
  </si>
  <si>
    <t>Dell India</t>
  </si>
  <si>
    <t>EPR-MH-004</t>
  </si>
  <si>
    <t>Lenovo India</t>
  </si>
  <si>
    <t>EPR-MH-005</t>
  </si>
  <si>
    <t>Acer India</t>
  </si>
  <si>
    <t>EPR-MH-006</t>
  </si>
  <si>
    <t>ASUS India</t>
  </si>
  <si>
    <t>EPR-MH-007</t>
  </si>
  <si>
    <t>Wipro</t>
  </si>
  <si>
    <t>EPR-MH-008</t>
  </si>
  <si>
    <t>HCL</t>
  </si>
  <si>
    <t>EPR-MH-009</t>
  </si>
  <si>
    <t>Canon India</t>
  </si>
  <si>
    <t>EPR-MH-010</t>
  </si>
  <si>
    <t>Epson India</t>
  </si>
  <si>
    <t>EPR-MH-011</t>
  </si>
  <si>
    <t>Xiaomi India</t>
  </si>
  <si>
    <t>EPR-MH-012</t>
  </si>
  <si>
    <t>OnePlus India</t>
  </si>
  <si>
    <t>EPR-MH-013</t>
  </si>
  <si>
    <t>Realme India</t>
  </si>
  <si>
    <t>EPR-MH-014</t>
  </si>
  <si>
    <t>Panasonic India</t>
  </si>
  <si>
    <t>EPR-MH-015</t>
  </si>
  <si>
    <t>Philips India</t>
  </si>
  <si>
    <t>EPR-MH-016</t>
  </si>
  <si>
    <t>Under Review</t>
  </si>
  <si>
    <t>TCL India</t>
  </si>
  <si>
    <t>EPR-MH-017</t>
  </si>
  <si>
    <t>Haier India</t>
  </si>
  <si>
    <t>EPR-MH-018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</si>
  <si>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</si>
  <si>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</si>
  <si>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</si>
  <si>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</si>
  <si>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</si>
  <si>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</si>
  <si>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</si>
  <si>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</si>
  <si>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</si>
  <si>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</si>
  <si>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</si>
  <si>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</si>
  <si>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Dharavi Scrap Cluster</t>
  </si>
  <si>
    <t>Partially Formalized</t>
  </si>
  <si>
    <t>Registered as authorized collection point; 30 workers trained under skill program</t>
  </si>
  <si>
    <t>Remediation ongoing</t>
  </si>
  <si>
    <t>Kurla Scrap Market</t>
  </si>
  <si>
    <t>Bhiwandi Scrap Cluster</t>
  </si>
  <si>
    <t>Hadapsar Scrap Cluster</t>
  </si>
  <si>
    <t>Formalized</t>
  </si>
  <si>
    <t>Pimpri-Chinchwad Cluster</t>
  </si>
  <si>
    <t>Itwari Scrap Market</t>
  </si>
  <si>
    <t>Satpur Industrial Area</t>
  </si>
  <si>
    <t>Taloja Industrial Cluster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</si>
  <si>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</si>
  <si>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</si>
  <si>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</si>
  <si>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</si>
  <si>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</si>
  <si>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</si>
  <si>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</si>
  <si>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</si>
  <si>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</si>
  <si>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</si>
  <si>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</si>
  <si>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</si>
  <si>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</si>
  <si>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12-02-2025</t>
  </si>
  <si>
    <t>Within Limits</t>
  </si>
  <si>
    <t>Follow-up remediation plan submitted to SPCB</t>
  </si>
  <si>
    <t>Air + Soil</t>
  </si>
  <si>
    <t>18-03-2025</t>
  </si>
  <si>
    <t>Water</t>
  </si>
  <si>
    <t>11-04-2025</t>
  </si>
  <si>
    <t>Air</t>
  </si>
  <si>
    <t>25-05-2025</t>
  </si>
  <si>
    <t>17-06-2025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</si>
  <si>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</si>
  <si>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</si>
  <si>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</si>
  <si>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</si>
  <si>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</si>
  <si>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</si>
  <si>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</si>
  <si>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</si>
  <si>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</si>
  <si>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World Environment Day E-Waste Drive</t>
  </si>
  <si>
    <t>05-06-2025</t>
  </si>
  <si>
    <t>Collection Drive</t>
  </si>
  <si>
    <t>Citizens</t>
  </si>
  <si>
    <t>International E-Waste Day</t>
  </si>
  <si>
    <t>14-10-2025</t>
  </si>
  <si>
    <t>Awareness Campaign</t>
  </si>
  <si>
    <t>College Awareness Drive</t>
  </si>
  <si>
    <t>15-02-2025</t>
  </si>
  <si>
    <t>Workshop</t>
  </si>
  <si>
    <t>Students</t>
  </si>
  <si>
    <t>20-03-2025</t>
  </si>
  <si>
    <t>MPCB Public Campaign</t>
  </si>
  <si>
    <t>10-07-2025</t>
  </si>
  <si>
    <t>Public Outreach</t>
  </si>
  <si>
    <t>General Public</t>
  </si>
  <si>
    <t>Housing Society Collection Camp</t>
  </si>
  <si>
    <t>25-07-2025</t>
  </si>
  <si>
    <t>Residents</t>
  </si>
  <si>
    <t>IT Park Collection Week</t>
  </si>
  <si>
    <t>18-08-2025</t>
  </si>
  <si>
    <t>Employees</t>
  </si>
  <si>
    <t>School Awareness Program</t>
  </si>
  <si>
    <t>11-09-2025</t>
  </si>
  <si>
    <t>School Program</t>
  </si>
  <si>
    <t>Municipal Collection Drive</t>
  </si>
  <si>
    <t>09-10-2025</t>
  </si>
  <si>
    <t>Digital Awareness Campaign</t>
  </si>
  <si>
    <t>Statewide</t>
  </si>
  <si>
    <t>01-11-2025</t>
  </si>
  <si>
    <t>Online Campaign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</si>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</sst>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 applyAlignment="1"/>
    <xf numFmtId="0" fontId="0" fillId="0" borderId="0" xfId="0" applyAlignme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/>
    <xf numFmtId="0" fontId="7" fillId="3" borderId="1" xfId="0" applyFont="1" applyFill="1" applyBorder="1" applyAlignment="1"/>
    <xf numFmtId="0" fontId="8" fillId="0" borderId="0" xfId="0" applyFont="1" applyAlignment="1"/>
    <xf numFmtId="0" fontId="9" fillId="0" borderId="0" xfId="0" applyFont="1" applyAlignment="1"/>
    <xf numFmtId="0" fontId="7" fillId="0" borderId="1" xfId="0" applyFont="1" applyBorder="1" applyAlignment="1"/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/>
    <xf numFmtId="164" fontId="4" fillId="3" borderId="0" xfId="0" applyNumberFormat="1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zoomScaleNormal="100" workbookViewId="0"/>
  </sheetViews>
  <sheetFormatPr defaultColWidth="8.7421875" defaultRowHeight="15" x14ac:dyDescent="0.2"/>
  <cols>
    <col min="1" max="1" width="2.95703125" style="1" customWidth="1"/>
    <col min="2" max="2" width="6.05078125" style="1" customWidth="1"/>
    <col min="3" max="3" width="29.99609375" style="1" customWidth="1"/>
    <col min="4" max="4" width="9.953125" style="1" customWidth="1"/>
    <col min="5" max="6" width="16.0078125" style="1" customWidth="1"/>
    <col min="7" max="7" width="13.98828125" style="1" customWidth="1"/>
    <col min="8" max="8" width="13.046875" style="1" customWidth="1"/>
    <col min="9" max="9" width="9.953125" style="1" customWidth="1"/>
  </cols>
  <sheetData>
    <row r="2" spans="1:9" ht="25.5" customHeight="1" x14ac:dyDescent="0.2">
      <c r="A2" s="22" t="s">
        <v>0</v>
      </c>
      <c r="B2" s="21"/>
      <c r="C2" s="21"/>
      <c r="D2" s="21"/>
      <c r="E2" s="21"/>
      <c r="F2" s="21"/>
      <c r="G2" s="21"/>
      <c r="H2" s="21"/>
    </row>
    <row r="3" spans="1:9" ht="15" customHeight="1" x14ac:dyDescent="0.2">
      <c r="B3" s="24" t="s">
        <v>1</v>
      </c>
      <c r="C3" s="21"/>
      <c r="D3" s="21"/>
      <c r="E3" s="21"/>
      <c r="F3" s="21"/>
      <c r="G3" s="21"/>
      <c r="H3" s="21"/>
      <c r="I3" s="21"/>
    </row>
    <row r="5" spans="1:9" ht="15" customHeight="1" x14ac:dyDescent="0.2">
      <c r="B5" s="23" t="s">
        <v>2</v>
      </c>
      <c r="C5" s="21"/>
      <c r="D5" s="20">
        <f>ROUND(H17,1)</f>
        <v>54.2</v>
      </c>
      <c r="E5" s="21"/>
      <c r="F5" s="25" t="str">
        <f>_xlfn.IFS(H17&gt;=85,"EXCELLENT",H17&gt;=65,"GOOD",H17&gt;=45,"NEEDS IMPROVEMENT",TRUE(),"CRITICAL")</f>
        <v>NEEDS IMPROVEMENT</v>
      </c>
      <c r="G5" s="21"/>
      <c r="H5" s="21"/>
      <c r="I5" s="21"/>
    </row>
    <row r="6" spans="1:9" ht="15" customHeight="1" x14ac:dyDescent="0.2">
      <c r="B6" s="21"/>
      <c r="C6" s="21"/>
      <c r="D6" s="21"/>
      <c r="E6" s="21"/>
      <c r="F6" s="21"/>
      <c r="G6" s="21"/>
      <c r="H6" s="21"/>
      <c r="I6" s="21"/>
    </row>
    <row r="7" spans="1:9" ht="15" customHeight="1" x14ac:dyDescent="0.2">
      <c r="B7" s="21"/>
      <c r="C7" s="21"/>
      <c r="D7" s="21"/>
      <c r="E7" s="21"/>
      <c r="F7" s="21"/>
      <c r="G7" s="21"/>
      <c r="H7" s="21"/>
      <c r="I7" s="21"/>
    </row>
    <row r="9" spans="1:9" ht="30" customHeight="1" x14ac:dyDescent="0.2"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</row>
    <row r="10" spans="1:9" ht="30" customHeight="1" x14ac:dyDescent="0.2">
      <c r="B10" s="3">
        <v>1</v>
      </c>
      <c r="C10" s="4" t="s">
        <v>10</v>
      </c>
      <c r="D10" s="3">
        <v>15</v>
      </c>
      <c r="E10" s="5">
        <v>5</v>
      </c>
      <c r="F10" s="3">
        <f>COUNTIF('1_Generation_Inventory'!C6:C25,"?*")</f>
        <v>0</v>
      </c>
      <c r="G10" s="6">
        <f>IFERROR(MIN(F10/E10,1),0)</f>
        <v>0</v>
      </c>
      <c r="H10" s="7">
        <f>ROUND(G10*D10,1)</f>
        <v>0</v>
      </c>
    </row>
    <row r="11" spans="1:9" ht="30" customHeight="1" x14ac:dyDescent="0.2">
      <c r="B11" s="3">
        <v>2</v>
      </c>
      <c r="C11" s="4" t="s">
        <v>11</v>
      </c>
      <c r="D11" s="3">
        <v>20</v>
      </c>
      <c r="E11" s="8">
        <v>1</v>
      </c>
      <c r="F11" s="6">
        <f>IFERROR('2_Collection_Log'!F27/'2_Collection_Log'!C27,0)</f>
        <v>0.3312088397790055</v>
      </c>
      <c r="G11" s="6">
        <f>IFERROR(MIN(F11/E11,1),0)</f>
        <v>0.3312088397790055</v>
      </c>
      <c r="H11" s="7">
        <f>ROUND(G11*D11,1)</f>
        <v>6.6</v>
      </c>
    </row>
    <row r="12" spans="1:9" ht="30" customHeight="1" x14ac:dyDescent="0.2">
      <c r="B12" s="3">
        <v>3</v>
      </c>
      <c r="C12" s="4" t="s">
        <v>12</v>
      </c>
      <c r="D12" s="3">
        <v>20</v>
      </c>
      <c r="E12" s="8">
        <v>1</v>
      </c>
      <c r="F12" s="6">
        <f>IFERROR(('3_Recycling_Infrastructure'!E28*1000)/'2_Collection_Log'!C27,0)</f>
        <v>67.403314917127076</v>
      </c>
      <c r="G12" s="6">
        <f>IFERROR(MIN(F12/E12,1),0)</f>
        <v>1</v>
      </c>
      <c r="H12" s="7">
        <f>ROUND(G12*D12,1)</f>
        <v>20</v>
      </c>
    </row>
    <row r="13" spans="1:9" ht="30" customHeight="1" x14ac:dyDescent="0.2">
      <c r="B13" s="3">
        <v>4</v>
      </c>
      <c r="C13" s="4" t="s">
        <v>13</v>
      </c>
      <c r="D13" s="3">
        <v>15</v>
      </c>
      <c r="E13" s="8">
        <v>1</v>
      </c>
      <c r="F13" s="6">
        <f>IFERROR('4_Compliance_Tracker'!C28/'4_Compliance_Tracker'!C29,0)</f>
        <v>0.83333333333333337</v>
      </c>
      <c r="G13" s="6">
        <f>IFERROR(MIN(F13/E13,1),0)</f>
        <v>0.83333333333333337</v>
      </c>
      <c r="H13" s="7">
        <f>ROUND(G13*D13,1)</f>
        <v>12.5</v>
      </c>
    </row>
    <row r="14" spans="1:9" ht="30" customHeight="1" x14ac:dyDescent="0.2">
      <c r="B14" s="3">
        <v>5</v>
      </c>
      <c r="C14" s="4" t="s">
        <v>14</v>
      </c>
      <c r="D14" s="3">
        <v>10</v>
      </c>
      <c r="E14" s="8">
        <v>1</v>
      </c>
      <c r="F14" s="6">
        <f>IFERROR('5_Informal_Sector_Hotspots'!C29/'5_Informal_Sector_Hotspots'!C28,0)</f>
        <v>0.375</v>
      </c>
      <c r="G14" s="6">
        <f>IFERROR(MIN(F14/E14,1),0)</f>
        <v>0.375</v>
      </c>
      <c r="H14" s="7">
        <f>ROUND(G14*D14,1)</f>
        <v>3.8</v>
      </c>
    </row>
    <row r="15" spans="1:9" ht="30" customHeight="1" x14ac:dyDescent="0.2">
      <c r="B15" s="3">
        <v>6</v>
      </c>
      <c r="C15" s="4" t="s">
        <v>15</v>
      </c>
      <c r="D15" s="3">
        <v>10</v>
      </c>
      <c r="E15" s="8">
        <v>1</v>
      </c>
      <c r="F15" s="6">
        <f>IFERROR('6_Env_Health_Monitoring'!C28/'5_Informal_Sector_Hotspots'!C28,0)</f>
        <v>0.625</v>
      </c>
      <c r="G15" s="6">
        <f>IFERROR(MIN(F15/E15,1),0)</f>
        <v>0.625</v>
      </c>
      <c r="H15" s="7">
        <f>ROUND(G15*D15,1)</f>
        <v>6.3</v>
      </c>
    </row>
    <row r="16" spans="1:9" ht="30" customHeight="1" x14ac:dyDescent="0.2">
      <c r="B16" s="3">
        <v>7</v>
      </c>
      <c r="C16" s="4" t="s">
        <v>16</v>
      </c>
      <c r="D16" s="3">
        <v>10</v>
      </c>
      <c r="E16" s="5">
        <v>20</v>
      </c>
      <c r="F16" s="3">
        <f>'7_Awareness_Programs'!C28</f>
        <v>10</v>
      </c>
      <c r="G16" s="6">
        <f>IFERROR(MIN(F16/E16,1),0)</f>
        <v>0.5</v>
      </c>
      <c r="H16" s="7">
        <f>ROUND(G16*D16,1)</f>
        <v>5</v>
      </c>
    </row>
    <row r="17" spans="2:8" ht="15" customHeight="1" x14ac:dyDescent="0.2">
      <c r="B17" s="9"/>
      <c r="C17" s="10" t="s">
        <v>17</v>
      </c>
      <c r="D17" s="10">
        <f>SUM(D10:D16)</f>
        <v>100</v>
      </c>
      <c r="E17" s="9"/>
      <c r="F17" s="9"/>
      <c r="G17" s="9"/>
      <c r="H17" s="10">
        <f>SUM(H10:H16)</f>
        <v>54.199999999999996</v>
      </c>
    </row>
    <row r="19" spans="2:8" ht="15" customHeight="1" x14ac:dyDescent="0.2">
      <c r="B19" s="11" t="s">
        <v>18</v>
      </c>
    </row>
    <row r="20" spans="2:8" ht="15" customHeight="1" x14ac:dyDescent="0.2">
      <c r="B20" s="12" t="s">
        <v>19</v>
      </c>
      <c r="C20" s="12" t="s">
        <v>20</v>
      </c>
    </row>
    <row r="21" spans="2:8" ht="15" customHeight="1" x14ac:dyDescent="0.2">
      <c r="B21" s="12" t="s">
        <v>21</v>
      </c>
      <c r="C21" s="12" t="s">
        <v>22</v>
      </c>
    </row>
    <row r="22" spans="2:8" ht="15" customHeight="1" x14ac:dyDescent="0.2">
      <c r="B22" s="12" t="s">
        <v>23</v>
      </c>
      <c r="C22" s="12" t="s">
        <v>24</v>
      </c>
    </row>
    <row r="23" spans="2:8" ht="15" customHeight="1" x14ac:dyDescent="0.2">
      <c r="B23" s="12" t="s">
        <v>25</v>
      </c>
      <c r="C23" s="12" t="s">
        <v>26</v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421875" defaultRowHeight="15" x14ac:dyDescent="0.2"/>
  <cols>
    <col min="1" max="1" width="2.95703125" style="1" customWidth="1"/>
    <col min="2" max="2" width="6.05078125" style="1" customWidth="1"/>
    <col min="3" max="3" width="25.9609375" style="1" customWidth="1"/>
    <col min="4" max="4" width="9.01171875" style="1" customWidth="1"/>
    <col min="5" max="8" width="16.0078125" style="1" customWidth="1"/>
  </cols>
  <sheetData>
    <row r="2" spans="1:8" ht="25.5" customHeight="1" x14ac:dyDescent="0.2">
      <c r="A2" s="22" t="s">
        <v>27</v>
      </c>
      <c r="B2" s="21"/>
      <c r="C2" s="21"/>
      <c r="D2" s="21"/>
      <c r="E2" s="21"/>
      <c r="F2" s="21"/>
      <c r="G2" s="21"/>
    </row>
    <row r="4" spans="1:8" ht="30" customHeight="1" x14ac:dyDescent="0.2">
      <c r="B4" s="30" t="s">
        <v>28</v>
      </c>
      <c r="C4" s="21"/>
      <c r="D4" s="21"/>
      <c r="E4" s="21"/>
      <c r="F4" s="21"/>
      <c r="G4" s="21"/>
      <c r="H4" s="21"/>
    </row>
    <row r="6" spans="1:8" ht="23.85" customHeight="1" x14ac:dyDescent="0.2">
      <c r="B6" s="2" t="s">
        <v>3</v>
      </c>
      <c r="C6" s="2" t="s">
        <v>4</v>
      </c>
      <c r="D6" s="2" t="s">
        <v>5</v>
      </c>
      <c r="E6" s="2" t="s">
        <v>29</v>
      </c>
    </row>
    <row r="7" spans="1:8" ht="30" customHeight="1" x14ac:dyDescent="0.2">
      <c r="B7" s="3">
        <v>1</v>
      </c>
      <c r="C7" s="13" t="s">
        <v>10</v>
      </c>
      <c r="D7" s="3">
        <v>15</v>
      </c>
      <c r="E7" s="26" t="s">
        <v>30</v>
      </c>
      <c r="F7" s="27"/>
      <c r="G7" s="27"/>
      <c r="H7" s="28"/>
    </row>
    <row r="8" spans="1:8" ht="30" customHeight="1" x14ac:dyDescent="0.2">
      <c r="B8" s="3">
        <v>2</v>
      </c>
      <c r="C8" s="13" t="s">
        <v>11</v>
      </c>
      <c r="D8" s="3">
        <v>20</v>
      </c>
      <c r="E8" s="26" t="s">
        <v>31</v>
      </c>
      <c r="F8" s="27"/>
      <c r="G8" s="27"/>
      <c r="H8" s="28"/>
    </row>
    <row r="9" spans="1:8" ht="30" customHeight="1" x14ac:dyDescent="0.2">
      <c r="B9" s="3">
        <v>3</v>
      </c>
      <c r="C9" s="13" t="s">
        <v>12</v>
      </c>
      <c r="D9" s="3">
        <v>20</v>
      </c>
      <c r="E9" s="26" t="s">
        <v>32</v>
      </c>
      <c r="F9" s="27"/>
      <c r="G9" s="27"/>
      <c r="H9" s="28"/>
    </row>
    <row r="10" spans="1:8" ht="30" customHeight="1" x14ac:dyDescent="0.2">
      <c r="B10" s="3">
        <v>4</v>
      </c>
      <c r="C10" s="13" t="s">
        <v>13</v>
      </c>
      <c r="D10" s="3">
        <v>15</v>
      </c>
      <c r="E10" s="26" t="s">
        <v>33</v>
      </c>
      <c r="F10" s="27"/>
      <c r="G10" s="27"/>
      <c r="H10" s="28"/>
    </row>
    <row r="11" spans="1:8" ht="30" customHeight="1" x14ac:dyDescent="0.2">
      <c r="B11" s="3">
        <v>5</v>
      </c>
      <c r="C11" s="13" t="s">
        <v>14</v>
      </c>
      <c r="D11" s="3">
        <v>10</v>
      </c>
      <c r="E11" s="26" t="s">
        <v>34</v>
      </c>
      <c r="F11" s="27"/>
      <c r="G11" s="27"/>
      <c r="H11" s="28"/>
    </row>
    <row r="12" spans="1:8" ht="30" customHeight="1" x14ac:dyDescent="0.2">
      <c r="B12" s="3">
        <v>6</v>
      </c>
      <c r="C12" s="13" t="s">
        <v>15</v>
      </c>
      <c r="D12" s="3">
        <v>10</v>
      </c>
      <c r="E12" s="26" t="s">
        <v>35</v>
      </c>
      <c r="F12" s="27"/>
      <c r="G12" s="27"/>
      <c r="H12" s="28"/>
    </row>
    <row r="13" spans="1:8" ht="30" customHeight="1" x14ac:dyDescent="0.2">
      <c r="B13" s="3">
        <v>7</v>
      </c>
      <c r="C13" s="13" t="s">
        <v>16</v>
      </c>
      <c r="D13" s="3">
        <v>10</v>
      </c>
      <c r="E13" s="26" t="s">
        <v>36</v>
      </c>
      <c r="F13" s="27"/>
      <c r="G13" s="27"/>
      <c r="H13" s="28"/>
    </row>
    <row r="14" spans="1:8" ht="15" customHeight="1" x14ac:dyDescent="0.2">
      <c r="B14" s="9"/>
      <c r="C14" s="10" t="s">
        <v>37</v>
      </c>
      <c r="D14" s="10">
        <v>100</v>
      </c>
      <c r="E14" s="9"/>
      <c r="F14" s="9"/>
      <c r="G14" s="9"/>
      <c r="H14" s="9"/>
    </row>
    <row r="16" spans="1:8" ht="15" customHeight="1" x14ac:dyDescent="0.2">
      <c r="B16" s="11" t="s">
        <v>38</v>
      </c>
    </row>
    <row r="17" spans="2:8" ht="25.5" customHeight="1" x14ac:dyDescent="0.2">
      <c r="B17" s="29" t="s">
        <v>39</v>
      </c>
      <c r="C17" s="21"/>
      <c r="D17" s="21"/>
      <c r="E17" s="21"/>
      <c r="F17" s="21"/>
      <c r="G17" s="21"/>
      <c r="H17" s="21"/>
    </row>
    <row r="18" spans="2:8" ht="25.5" customHeight="1" x14ac:dyDescent="0.2">
      <c r="B18" s="29" t="s">
        <v>40</v>
      </c>
      <c r="C18" s="21"/>
      <c r="D18" s="21"/>
      <c r="E18" s="21"/>
      <c r="F18" s="21"/>
      <c r="G18" s="21"/>
      <c r="H18" s="21"/>
    </row>
    <row r="19" spans="2:8" ht="25.5" customHeight="1" x14ac:dyDescent="0.2">
      <c r="B19" s="29" t="s">
        <v>41</v>
      </c>
      <c r="C19" s="21"/>
      <c r="D19" s="21"/>
      <c r="E19" s="21"/>
      <c r="F19" s="21"/>
      <c r="G19" s="21"/>
      <c r="H19" s="21"/>
    </row>
    <row r="20" spans="2:8" ht="25.5" customHeight="1" x14ac:dyDescent="0.2">
      <c r="B20" s="29" t="s">
        <v>42</v>
      </c>
      <c r="C20" s="21"/>
      <c r="D20" s="21"/>
      <c r="E20" s="21"/>
      <c r="F20" s="21"/>
      <c r="G20" s="21"/>
      <c r="H20" s="21"/>
    </row>
    <row r="21" spans="2:8" ht="25.5" customHeight="1" x14ac:dyDescent="0.2">
      <c r="B21" s="29" t="s">
        <v>43</v>
      </c>
      <c r="C21" s="21"/>
      <c r="D21" s="21"/>
      <c r="E21" s="21"/>
      <c r="F21" s="21"/>
      <c r="G21" s="21"/>
      <c r="H21" s="21"/>
    </row>
  </sheetData>
  <mergeCells count="14">
    <mergeCell ref="B4:H4"/>
    <mergeCell ref="E12:H12"/>
    <mergeCell ref="B21:H21"/>
    <mergeCell ref="A2:G2"/>
    <mergeCell ref="E7:H7"/>
    <mergeCell ref="E11:H11"/>
    <mergeCell ref="B19:H19"/>
    <mergeCell ref="B20:H20"/>
    <mergeCell ref="E13:H13"/>
    <mergeCell ref="E9:H9"/>
    <mergeCell ref="B17:H17"/>
    <mergeCell ref="B18:H18"/>
    <mergeCell ref="E8:H8"/>
    <mergeCell ref="E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16.0078125" style="1" customWidth="1"/>
    <col min="3" max="3" width="11.97265625" style="1" customWidth="1"/>
    <col min="4" max="4" width="16.0078125" style="1" customWidth="1"/>
    <col min="5" max="5" width="20.04296875" style="1" customWidth="1"/>
    <col min="6" max="6" width="18.0234375" style="1" customWidth="1"/>
    <col min="7" max="7" width="16.0078125" style="1" customWidth="1"/>
    <col min="8" max="8" width="13.98828125" style="1" customWidth="1"/>
    <col min="9" max="9" width="11.97265625" style="1" customWidth="1"/>
    <col min="10" max="10" width="14.9296875" style="1" customWidth="1"/>
    <col min="11" max="11" width="16.0078125" style="1" customWidth="1"/>
  </cols>
  <sheetData>
    <row r="2" spans="1:11" ht="25.5" customHeight="1" x14ac:dyDescent="0.2">
      <c r="A2" s="22" t="s">
        <v>44</v>
      </c>
      <c r="B2" s="21"/>
      <c r="C2" s="21"/>
      <c r="D2" s="21"/>
      <c r="E2" s="21"/>
      <c r="F2" s="21"/>
      <c r="G2" s="21"/>
      <c r="H2" s="21"/>
      <c r="I2" s="21"/>
      <c r="J2" s="21"/>
    </row>
    <row r="3" spans="1:11" ht="15" customHeight="1" x14ac:dyDescent="0.2">
      <c r="B3" s="24" t="s">
        <v>45</v>
      </c>
      <c r="C3" s="21"/>
      <c r="D3" s="21"/>
      <c r="E3" s="21"/>
      <c r="F3" s="21"/>
      <c r="G3" s="21"/>
      <c r="H3" s="21"/>
      <c r="I3" s="21"/>
      <c r="J3" s="21"/>
      <c r="K3" s="21"/>
    </row>
    <row r="5" spans="1:11" ht="31.5" customHeight="1" x14ac:dyDescent="0.2"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</row>
    <row r="6" spans="1:11" ht="15" customHeight="1" x14ac:dyDescent="0.2">
      <c r="B6" s="14" t="s">
        <v>56</v>
      </c>
      <c r="C6" s="14">
        <v>3500000</v>
      </c>
      <c r="D6" s="14">
        <v>220000</v>
      </c>
      <c r="E6" s="14">
        <v>110000</v>
      </c>
      <c r="F6" s="14">
        <v>70000</v>
      </c>
      <c r="G6" s="14">
        <v>18000</v>
      </c>
      <c r="H6" s="14">
        <v>30000</v>
      </c>
      <c r="I6" s="14">
        <v>10000</v>
      </c>
      <c r="J6" s="14">
        <f>SUM(D6:I6)</f>
        <v>458000</v>
      </c>
      <c r="K6" s="14" t="s">
        <v>57</v>
      </c>
    </row>
    <row r="7" spans="1:11" ht="15" customHeight="1" x14ac:dyDescent="0.2">
      <c r="B7" s="15" t="s">
        <v>58</v>
      </c>
      <c r="C7" s="15">
        <v>9500000</v>
      </c>
      <c r="D7" s="15">
        <v>320000</v>
      </c>
      <c r="E7" s="15">
        <v>160000</v>
      </c>
      <c r="F7" s="15">
        <v>105000</v>
      </c>
      <c r="G7" s="15">
        <v>25000</v>
      </c>
      <c r="H7" s="15">
        <v>45000</v>
      </c>
      <c r="I7" s="15"/>
      <c r="J7" s="16">
        <f>IF(SUM(D7:I7)=0,"",SUM(D7:I7))</f>
        <v>655000</v>
      </c>
      <c r="K7" s="15"/>
    </row>
    <row r="8" spans="1:11" ht="15" customHeight="1" x14ac:dyDescent="0.2">
      <c r="B8" s="15" t="s">
        <v>59</v>
      </c>
      <c r="C8" s="15">
        <v>11000000</v>
      </c>
      <c r="D8" s="15">
        <v>290000</v>
      </c>
      <c r="E8" s="15">
        <v>145000</v>
      </c>
      <c r="F8" s="15">
        <v>95000</v>
      </c>
      <c r="G8" s="15">
        <v>22000</v>
      </c>
      <c r="H8" s="15">
        <v>40000</v>
      </c>
      <c r="I8" s="15"/>
      <c r="J8" s="16">
        <f>IF(SUM(D8:I8)=0,"",SUM(D8:I8))</f>
        <v>592000</v>
      </c>
      <c r="K8" s="15"/>
    </row>
    <row r="9" spans="1:11" ht="15" customHeight="1" x14ac:dyDescent="0.2">
      <c r="B9" s="15" t="s">
        <v>60</v>
      </c>
      <c r="C9" s="15">
        <v>7600000</v>
      </c>
      <c r="D9" s="15">
        <v>270000</v>
      </c>
      <c r="E9" s="15">
        <v>135000</v>
      </c>
      <c r="F9" s="15">
        <v>90000</v>
      </c>
      <c r="G9" s="15">
        <v>20000</v>
      </c>
      <c r="H9" s="15">
        <v>38000</v>
      </c>
      <c r="I9" s="15"/>
      <c r="J9" s="16">
        <f>IF(SUM(D9:I9)=0,"",SUM(D9:I9))</f>
        <v>553000</v>
      </c>
      <c r="K9" s="15"/>
    </row>
    <row r="10" spans="1:11" ht="15" customHeight="1" x14ac:dyDescent="0.2">
      <c r="B10" s="15" t="s">
        <v>61</v>
      </c>
      <c r="C10" s="15">
        <v>3100000</v>
      </c>
      <c r="D10" s="15">
        <v>100000</v>
      </c>
      <c r="E10" s="15">
        <v>50000</v>
      </c>
      <c r="F10" s="15">
        <v>33000</v>
      </c>
      <c r="G10" s="15">
        <v>8000</v>
      </c>
      <c r="H10" s="15">
        <v>14000</v>
      </c>
      <c r="I10" s="15"/>
      <c r="J10" s="16">
        <f>IF(SUM(D10:I10)=0,"",SUM(D10:I10))</f>
        <v>205000</v>
      </c>
      <c r="K10" s="15"/>
    </row>
    <row r="11" spans="1:11" ht="15" customHeight="1" x14ac:dyDescent="0.2">
      <c r="B11" s="15" t="s">
        <v>62</v>
      </c>
      <c r="C11" s="15">
        <v>6200000</v>
      </c>
      <c r="D11" s="15">
        <v>150000</v>
      </c>
      <c r="E11" s="15">
        <v>76000</v>
      </c>
      <c r="F11" s="15">
        <v>50000</v>
      </c>
      <c r="G11" s="15">
        <v>12000</v>
      </c>
      <c r="H11" s="15">
        <v>22000</v>
      </c>
      <c r="I11" s="15"/>
      <c r="J11" s="16">
        <f>IF(SUM(D11:I11)=0,"",SUM(D11:I11))</f>
        <v>310000</v>
      </c>
      <c r="K11" s="15"/>
    </row>
    <row r="12" spans="1:11" ht="15" customHeight="1" x14ac:dyDescent="0.2">
      <c r="B12" s="15" t="s">
        <v>63</v>
      </c>
      <c r="C12" s="15">
        <v>3000000</v>
      </c>
      <c r="D12" s="15">
        <v>70000</v>
      </c>
      <c r="E12" s="15">
        <v>35000</v>
      </c>
      <c r="F12" s="15">
        <v>24000</v>
      </c>
      <c r="G12" s="15">
        <v>6000</v>
      </c>
      <c r="H12" s="15">
        <v>10000</v>
      </c>
      <c r="I12" s="15"/>
      <c r="J12" s="16">
        <f>IF(SUM(D12:I12)=0,"",SUM(D12:I12))</f>
        <v>145000</v>
      </c>
      <c r="K12" s="15"/>
    </row>
    <row r="13" spans="1:11" ht="15" customHeight="1" x14ac:dyDescent="0.2">
      <c r="B13" s="15" t="s">
        <v>64</v>
      </c>
      <c r="C13" s="15">
        <v>2800000</v>
      </c>
      <c r="D13" s="15">
        <v>65000</v>
      </c>
      <c r="E13" s="15">
        <v>32000</v>
      </c>
      <c r="F13" s="15">
        <v>22000</v>
      </c>
      <c r="G13" s="15">
        <v>5000</v>
      </c>
      <c r="H13" s="15">
        <v>9000</v>
      </c>
      <c r="I13" s="15"/>
      <c r="J13" s="16">
        <f>IF(SUM(D13:I13)=0,"",SUM(D13:I13))</f>
        <v>133000</v>
      </c>
      <c r="K13" s="15"/>
    </row>
    <row r="14" spans="1:11" ht="15" customHeight="1" x14ac:dyDescent="0.2">
      <c r="B14" s="15" t="s">
        <v>65</v>
      </c>
      <c r="C14" s="15">
        <v>4000000</v>
      </c>
      <c r="D14" s="15">
        <v>90000</v>
      </c>
      <c r="E14" s="15">
        <v>45000</v>
      </c>
      <c r="F14" s="15">
        <v>30000</v>
      </c>
      <c r="G14" s="15">
        <v>7000</v>
      </c>
      <c r="H14" s="15">
        <v>13000</v>
      </c>
      <c r="I14" s="15"/>
      <c r="J14" s="16">
        <f>IF(SUM(D14:I14)=0,"",SUM(D14:I14))</f>
        <v>185000</v>
      </c>
      <c r="K14" s="15"/>
    </row>
    <row r="15" spans="1:11" ht="15" customHeight="1" x14ac:dyDescent="0.2">
      <c r="B15" s="15" t="s">
        <v>66</v>
      </c>
      <c r="C15" s="15">
        <v>4300000</v>
      </c>
      <c r="D15" s="15">
        <v>95000</v>
      </c>
      <c r="E15" s="15">
        <v>47000</v>
      </c>
      <c r="F15" s="15">
        <v>31000</v>
      </c>
      <c r="G15" s="15">
        <v>7000</v>
      </c>
      <c r="H15" s="15">
        <v>13000</v>
      </c>
      <c r="I15" s="15"/>
      <c r="J15" s="16">
        <f>IF(SUM(D15:I15)=0,"",SUM(D15:I15))</f>
        <v>193000</v>
      </c>
      <c r="K15" s="15"/>
    </row>
    <row r="16" spans="1:11" ht="15" customHeight="1" x14ac:dyDescent="0.2">
      <c r="B16" s="15" t="s">
        <v>67</v>
      </c>
      <c r="C16" s="15">
        <v>3900000</v>
      </c>
      <c r="D16" s="15">
        <v>85000</v>
      </c>
      <c r="E16" s="15">
        <v>42000</v>
      </c>
      <c r="F16" s="15">
        <v>28000</v>
      </c>
      <c r="G16" s="15">
        <v>6500</v>
      </c>
      <c r="H16" s="15">
        <v>12000</v>
      </c>
      <c r="I16" s="15"/>
      <c r="J16" s="16">
        <f>IF(SUM(D16:I16)=0,"",SUM(D16:I16))</f>
        <v>173500</v>
      </c>
      <c r="K16" s="15"/>
    </row>
    <row r="17" spans="2:11" ht="15" customHeight="1" x14ac:dyDescent="0.2">
      <c r="B17" s="15" t="s">
        <v>68</v>
      </c>
      <c r="C17" s="15">
        <v>2900000</v>
      </c>
      <c r="D17" s="15">
        <v>62000</v>
      </c>
      <c r="E17" s="15">
        <v>31000</v>
      </c>
      <c r="F17" s="15">
        <v>20000</v>
      </c>
      <c r="G17" s="15">
        <v>5000</v>
      </c>
      <c r="H17" s="15">
        <v>9000</v>
      </c>
      <c r="I17" s="15"/>
      <c r="J17" s="16">
        <f>IF(SUM(D17:I17)=0,"",SUM(D17:I17))</f>
        <v>127000</v>
      </c>
      <c r="K17" s="15"/>
    </row>
    <row r="18" spans="2:11" ht="15" customHeight="1" x14ac:dyDescent="0.2">
      <c r="B18" s="15" t="s">
        <v>69</v>
      </c>
      <c r="C18" s="15">
        <v>3200000</v>
      </c>
      <c r="D18" s="15">
        <v>65000</v>
      </c>
      <c r="E18" s="15">
        <v>33000</v>
      </c>
      <c r="F18" s="15">
        <v>22000</v>
      </c>
      <c r="G18" s="15">
        <v>5000</v>
      </c>
      <c r="H18" s="15">
        <v>9000</v>
      </c>
      <c r="I18" s="15"/>
      <c r="J18" s="16">
        <f>IF(SUM(D18:I18)=0,"",SUM(D18:I18))</f>
        <v>134000</v>
      </c>
      <c r="K18" s="15"/>
    </row>
    <row r="19" spans="2:11" ht="15" customHeight="1" x14ac:dyDescent="0.2">
      <c r="B19" s="15" t="s">
        <v>70</v>
      </c>
      <c r="C19" s="15">
        <v>4300000</v>
      </c>
      <c r="D19" s="15">
        <v>90000</v>
      </c>
      <c r="E19" s="15">
        <v>45000</v>
      </c>
      <c r="F19" s="15">
        <v>30000</v>
      </c>
      <c r="G19" s="15">
        <v>7000</v>
      </c>
      <c r="H19" s="15">
        <v>13000</v>
      </c>
      <c r="I19" s="15"/>
      <c r="J19" s="16">
        <f>IF(SUM(D19:I19)=0,"",SUM(D19:I19))</f>
        <v>185000</v>
      </c>
      <c r="K19" s="15"/>
    </row>
    <row r="20" spans="2:11" ht="15" customHeight="1" x14ac:dyDescent="0.2">
      <c r="B20" s="15" t="s">
        <v>71</v>
      </c>
      <c r="C20" s="15">
        <v>3000000</v>
      </c>
      <c r="D20" s="15">
        <v>60000</v>
      </c>
      <c r="E20" s="15">
        <v>30000</v>
      </c>
      <c r="F20" s="15">
        <v>20000</v>
      </c>
      <c r="G20" s="15">
        <v>5000</v>
      </c>
      <c r="H20" s="15">
        <v>9000</v>
      </c>
      <c r="I20" s="15"/>
      <c r="J20" s="16">
        <f>IF(SUM(D20:I20)=0,"",SUM(D20:I20))</f>
        <v>124000</v>
      </c>
      <c r="K20" s="15"/>
    </row>
    <row r="21" spans="2:11" ht="15" customHeight="1" x14ac:dyDescent="0.2">
      <c r="B21" s="15" t="s">
        <v>72</v>
      </c>
      <c r="C21" s="15">
        <v>2200000</v>
      </c>
      <c r="D21" s="15">
        <v>50000</v>
      </c>
      <c r="E21" s="15">
        <v>25000</v>
      </c>
      <c r="F21" s="15">
        <v>17000</v>
      </c>
      <c r="G21" s="15">
        <v>4000</v>
      </c>
      <c r="H21" s="15">
        <v>7000</v>
      </c>
      <c r="I21" s="15"/>
      <c r="J21" s="16">
        <f>IF(SUM(D21:I21)=0,"",SUM(D21:I21))</f>
        <v>103000</v>
      </c>
      <c r="K21" s="15"/>
    </row>
    <row r="22" spans="2:11" ht="15" customHeight="1" x14ac:dyDescent="0.2">
      <c r="B22" s="15" t="s">
        <v>73</v>
      </c>
      <c r="C22" s="15">
        <v>3400000</v>
      </c>
      <c r="D22" s="15">
        <v>70000</v>
      </c>
      <c r="E22" s="15">
        <v>35000</v>
      </c>
      <c r="F22" s="15">
        <v>23000</v>
      </c>
      <c r="G22" s="15">
        <v>5500</v>
      </c>
      <c r="H22" s="15">
        <v>10000</v>
      </c>
      <c r="I22" s="15"/>
      <c r="J22" s="16">
        <f>IF(SUM(D22:I22)=0,"",SUM(D22:I22))</f>
        <v>143500</v>
      </c>
      <c r="K22" s="15"/>
    </row>
    <row r="23" spans="2:11" ht="15" customHeight="1" x14ac:dyDescent="0.2">
      <c r="B23" s="15" t="s">
        <v>74</v>
      </c>
      <c r="C23" s="15">
        <v>2500000</v>
      </c>
      <c r="D23" s="15">
        <v>52000</v>
      </c>
      <c r="E23" s="15">
        <v>26000</v>
      </c>
      <c r="F23" s="15">
        <v>17000</v>
      </c>
      <c r="G23" s="15">
        <v>4000</v>
      </c>
      <c r="H23" s="15">
        <v>7000</v>
      </c>
      <c r="I23" s="15"/>
      <c r="J23" s="16">
        <f>IF(SUM(D23:I23)=0,"",SUM(D23:I23))</f>
        <v>106000</v>
      </c>
      <c r="K23" s="15"/>
    </row>
    <row r="24" spans="2:11" ht="15" customHeight="1" x14ac:dyDescent="0.2">
      <c r="B24" s="15"/>
      <c r="C24" s="15"/>
      <c r="D24" s="15"/>
      <c r="E24" s="15"/>
      <c r="F24" s="15"/>
      <c r="G24" s="15"/>
      <c r="H24" s="15"/>
      <c r="I24" s="15"/>
      <c r="J24" s="16" t="str">
        <f>IF(SUM(D24:I24)=0,"",SUM(D24:I24))</f>
        <v/>
      </c>
      <c r="K24" s="15"/>
    </row>
    <row r="25" spans="2:11" ht="15" customHeight="1" x14ac:dyDescent="0.2">
      <c r="B25" s="15"/>
      <c r="C25" s="15"/>
      <c r="D25" s="15"/>
      <c r="E25" s="15"/>
      <c r="F25" s="15"/>
      <c r="G25" s="15"/>
      <c r="H25" s="15"/>
      <c r="I25" s="15"/>
      <c r="J25" s="16" t="str">
        <f>IF(SUM(D25:I25)=0,"",SUM(D25:I25))</f>
        <v/>
      </c>
      <c r="K25" s="15"/>
    </row>
    <row r="27" spans="2:11" ht="15" customHeight="1" x14ac:dyDescent="0.2">
      <c r="B27" s="10" t="s">
        <v>75</v>
      </c>
      <c r="C27" s="10">
        <f>SUM(C6:C25)</f>
        <v>80400000</v>
      </c>
      <c r="D27" s="10">
        <f>SUM(D6:D25)</f>
        <v>2204000</v>
      </c>
      <c r="E27" s="10">
        <f>SUM(E6:E25)</f>
        <v>1102000</v>
      </c>
      <c r="F27" s="10">
        <f>SUM(F6:F25)</f>
        <v>727000</v>
      </c>
      <c r="G27" s="10">
        <f>SUM(G6:G25)</f>
        <v>172000</v>
      </c>
      <c r="H27" s="10">
        <f>SUM(H6:H25)</f>
        <v>310000</v>
      </c>
      <c r="I27" s="10">
        <f>SUM(I6:I25)</f>
        <v>10000</v>
      </c>
      <c r="J27" s="10">
        <f>SUM(J6:J25)</f>
        <v>4525000</v>
      </c>
    </row>
  </sheetData>
  <mergeCells count="2">
    <mergeCell ref="B3:K3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16.0078125" style="1" customWidth="1"/>
    <col min="3" max="3" width="20.04296875" style="1" customWidth="1"/>
    <col min="4" max="4" width="13.046875" style="1" customWidth="1"/>
    <col min="5" max="5" width="18.0234375" style="1" customWidth="1"/>
    <col min="6" max="6" width="16.0078125" style="1" customWidth="1"/>
    <col min="7" max="7" width="18.0234375" style="1" customWidth="1"/>
    <col min="8" max="8" width="29.99609375" style="1" customWidth="1"/>
  </cols>
  <sheetData>
    <row r="2" spans="1:8" ht="25.5" customHeight="1" x14ac:dyDescent="0.2">
      <c r="A2" s="22" t="s">
        <v>76</v>
      </c>
      <c r="B2" s="21"/>
      <c r="C2" s="21"/>
      <c r="D2" s="21"/>
      <c r="E2" s="21"/>
      <c r="F2" s="21"/>
      <c r="G2" s="21"/>
    </row>
    <row r="3" spans="1:8" ht="15" customHeight="1" x14ac:dyDescent="0.2">
      <c r="B3" s="24" t="s">
        <v>77</v>
      </c>
      <c r="C3" s="21"/>
      <c r="D3" s="21"/>
      <c r="E3" s="21"/>
      <c r="F3" s="21"/>
      <c r="G3" s="21"/>
      <c r="H3" s="21"/>
    </row>
    <row r="5" spans="1:8" ht="31.5" customHeight="1" x14ac:dyDescent="0.2">
      <c r="B5" s="2" t="s">
        <v>46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83</v>
      </c>
    </row>
    <row r="6" spans="1:8" ht="23.85" customHeight="1" x14ac:dyDescent="0.2">
      <c r="B6" s="14" t="s">
        <v>56</v>
      </c>
      <c r="C6" s="14">
        <f>IFERROR(INDEX('1_Generation_Inventory'!$J$6:$J$25,MATCH(B6,'1_Generation_Inventory'!$B$6:$B$25,0)),0)</f>
        <v>458000</v>
      </c>
      <c r="D6" s="14">
        <v>220000</v>
      </c>
      <c r="E6" s="14">
        <v>11</v>
      </c>
      <c r="F6" s="14">
        <v>149600</v>
      </c>
      <c r="G6" s="14">
        <v>139128</v>
      </c>
      <c r="H6" s="14" t="s">
        <v>84</v>
      </c>
    </row>
    <row r="7" spans="1:8" ht="15" customHeight="1" x14ac:dyDescent="0.2">
      <c r="B7" s="15" t="s">
        <v>58</v>
      </c>
      <c r="C7" s="16">
        <f>IFERROR(INDEX('1_Generation_Inventory'!$J$6:$J$25,MATCH(B7,'1_Generation_Inventory'!$B$6:$B$25,0)),"")</f>
        <v>655000</v>
      </c>
      <c r="D7" s="15">
        <v>320000</v>
      </c>
      <c r="E7" s="15">
        <v>16</v>
      </c>
      <c r="F7" s="15">
        <v>217600</v>
      </c>
      <c r="G7" s="15">
        <v>202368</v>
      </c>
      <c r="H7" s="15" t="s">
        <v>84</v>
      </c>
    </row>
    <row r="8" spans="1:8" ht="15" customHeight="1" x14ac:dyDescent="0.2">
      <c r="B8" s="15" t="s">
        <v>59</v>
      </c>
      <c r="C8" s="16">
        <f>IFERROR(INDEX('1_Generation_Inventory'!$J$6:$J$25,MATCH(B8,'1_Generation_Inventory'!$B$6:$B$25,0)),"")</f>
        <v>592000</v>
      </c>
      <c r="D8" s="15">
        <v>290000</v>
      </c>
      <c r="E8" s="15">
        <v>14</v>
      </c>
      <c r="F8" s="15">
        <v>197200</v>
      </c>
      <c r="G8" s="15">
        <v>183396</v>
      </c>
      <c r="H8" s="15" t="s">
        <v>84</v>
      </c>
    </row>
    <row r="9" spans="1:8" ht="15" customHeight="1" x14ac:dyDescent="0.2">
      <c r="B9" s="15" t="s">
        <v>60</v>
      </c>
      <c r="C9" s="16">
        <f>IFERROR(INDEX('1_Generation_Inventory'!$J$6:$J$25,MATCH(B9,'1_Generation_Inventory'!$B$6:$B$25,0)),"")</f>
        <v>553000</v>
      </c>
      <c r="D9" s="15">
        <v>270000</v>
      </c>
      <c r="E9" s="15">
        <v>13</v>
      </c>
      <c r="F9" s="15">
        <v>183600</v>
      </c>
      <c r="G9" s="15">
        <v>170748</v>
      </c>
      <c r="H9" s="15" t="s">
        <v>84</v>
      </c>
    </row>
    <row r="10" spans="1:8" ht="15" customHeight="1" x14ac:dyDescent="0.2">
      <c r="B10" s="15" t="s">
        <v>61</v>
      </c>
      <c r="C10" s="16">
        <f>IFERROR(INDEX('1_Generation_Inventory'!$J$6:$J$25,MATCH(B10,'1_Generation_Inventory'!$B$6:$B$25,0)),"")</f>
        <v>205000</v>
      </c>
      <c r="D10" s="15">
        <v>100000</v>
      </c>
      <c r="E10" s="15">
        <v>5</v>
      </c>
      <c r="F10" s="15">
        <v>68000</v>
      </c>
      <c r="G10" s="15">
        <v>63240</v>
      </c>
      <c r="H10" s="15" t="s">
        <v>84</v>
      </c>
    </row>
    <row r="11" spans="1:8" ht="15" customHeight="1" x14ac:dyDescent="0.2">
      <c r="B11" s="15" t="s">
        <v>62</v>
      </c>
      <c r="C11" s="16">
        <f>IFERROR(INDEX('1_Generation_Inventory'!$J$6:$J$25,MATCH(B11,'1_Generation_Inventory'!$B$6:$B$25,0)),"")</f>
        <v>310000</v>
      </c>
      <c r="D11" s="15">
        <v>150000</v>
      </c>
      <c r="E11" s="15">
        <v>7</v>
      </c>
      <c r="F11" s="15">
        <v>102000</v>
      </c>
      <c r="G11" s="15">
        <v>94860</v>
      </c>
      <c r="H11" s="15" t="s">
        <v>84</v>
      </c>
    </row>
    <row r="12" spans="1:8" ht="15" customHeight="1" x14ac:dyDescent="0.2">
      <c r="B12" s="15" t="s">
        <v>63</v>
      </c>
      <c r="C12" s="16">
        <f>IFERROR(INDEX('1_Generation_Inventory'!$J$6:$J$25,MATCH(B12,'1_Generation_Inventory'!$B$6:$B$25,0)),"")</f>
        <v>145000</v>
      </c>
      <c r="D12" s="15">
        <v>70000</v>
      </c>
      <c r="E12" s="15">
        <v>3</v>
      </c>
      <c r="F12" s="15">
        <v>47600</v>
      </c>
      <c r="G12" s="15">
        <v>44268</v>
      </c>
      <c r="H12" s="15" t="s">
        <v>84</v>
      </c>
    </row>
    <row r="13" spans="1:8" ht="15" customHeight="1" x14ac:dyDescent="0.2">
      <c r="B13" s="15" t="s">
        <v>64</v>
      </c>
      <c r="C13" s="16">
        <f>IFERROR(INDEX('1_Generation_Inventory'!$J$6:$J$25,MATCH(B13,'1_Generation_Inventory'!$B$6:$B$25,0)),"")</f>
        <v>133000</v>
      </c>
      <c r="D13" s="15">
        <v>65000</v>
      </c>
      <c r="E13" s="15">
        <v>3</v>
      </c>
      <c r="F13" s="15">
        <v>44200</v>
      </c>
      <c r="G13" s="15">
        <v>41106</v>
      </c>
      <c r="H13" s="15" t="s">
        <v>84</v>
      </c>
    </row>
    <row r="14" spans="1:8" ht="15" customHeight="1" x14ac:dyDescent="0.2">
      <c r="B14" s="15" t="s">
        <v>65</v>
      </c>
      <c r="C14" s="16">
        <f>IFERROR(INDEX('1_Generation_Inventory'!$J$6:$J$25,MATCH(B14,'1_Generation_Inventory'!$B$6:$B$25,0)),"")</f>
        <v>185000</v>
      </c>
      <c r="D14" s="15">
        <v>90000</v>
      </c>
      <c r="E14" s="15">
        <v>4</v>
      </c>
      <c r="F14" s="15">
        <v>61200</v>
      </c>
      <c r="G14" s="15">
        <v>56916</v>
      </c>
      <c r="H14" s="15" t="s">
        <v>84</v>
      </c>
    </row>
    <row r="15" spans="1:8" ht="15" customHeight="1" x14ac:dyDescent="0.2">
      <c r="B15" s="15" t="s">
        <v>66</v>
      </c>
      <c r="C15" s="16">
        <f>IFERROR(INDEX('1_Generation_Inventory'!$J$6:$J$25,MATCH(B15,'1_Generation_Inventory'!$B$6:$B$25,0)),"")</f>
        <v>193000</v>
      </c>
      <c r="D15" s="15">
        <v>95000</v>
      </c>
      <c r="E15" s="15">
        <v>4</v>
      </c>
      <c r="F15" s="15">
        <v>64600</v>
      </c>
      <c r="G15" s="15">
        <v>60078</v>
      </c>
      <c r="H15" s="15" t="s">
        <v>84</v>
      </c>
    </row>
    <row r="16" spans="1:8" ht="15" customHeight="1" x14ac:dyDescent="0.2">
      <c r="B16" s="15" t="s">
        <v>67</v>
      </c>
      <c r="C16" s="16">
        <f>IFERROR(INDEX('1_Generation_Inventory'!$J$6:$J$25,MATCH(B16,'1_Generation_Inventory'!$B$6:$B$25,0)),"")</f>
        <v>173500</v>
      </c>
      <c r="D16" s="15">
        <v>85000</v>
      </c>
      <c r="E16" s="15">
        <v>4</v>
      </c>
      <c r="F16" s="15">
        <v>57800</v>
      </c>
      <c r="G16" s="15">
        <v>53754</v>
      </c>
      <c r="H16" s="15" t="s">
        <v>84</v>
      </c>
    </row>
    <row r="17" spans="2:8" ht="15" customHeight="1" x14ac:dyDescent="0.2">
      <c r="B17" s="15" t="s">
        <v>68</v>
      </c>
      <c r="C17" s="16">
        <f>IFERROR(INDEX('1_Generation_Inventory'!$J$6:$J$25,MATCH(B17,'1_Generation_Inventory'!$B$6:$B$25,0)),"")</f>
        <v>127000</v>
      </c>
      <c r="D17" s="15">
        <v>62000</v>
      </c>
      <c r="E17" s="15">
        <v>3</v>
      </c>
      <c r="F17" s="15">
        <v>42160</v>
      </c>
      <c r="G17" s="15">
        <v>39209</v>
      </c>
      <c r="H17" s="15" t="s">
        <v>84</v>
      </c>
    </row>
    <row r="18" spans="2:8" ht="15" customHeight="1" x14ac:dyDescent="0.2">
      <c r="B18" s="15" t="s">
        <v>69</v>
      </c>
      <c r="C18" s="16">
        <f>IFERROR(INDEX('1_Generation_Inventory'!$J$6:$J$25,MATCH(B18,'1_Generation_Inventory'!$B$6:$B$25,0)),"")</f>
        <v>134000</v>
      </c>
      <c r="D18" s="15">
        <v>65000</v>
      </c>
      <c r="E18" s="15">
        <v>3</v>
      </c>
      <c r="F18" s="15">
        <v>44200</v>
      </c>
      <c r="G18" s="15">
        <v>41106</v>
      </c>
      <c r="H18" s="15" t="s">
        <v>84</v>
      </c>
    </row>
    <row r="19" spans="2:8" ht="15" customHeight="1" x14ac:dyDescent="0.2">
      <c r="B19" s="15" t="s">
        <v>70</v>
      </c>
      <c r="C19" s="16">
        <f>IFERROR(INDEX('1_Generation_Inventory'!$J$6:$J$25,MATCH(B19,'1_Generation_Inventory'!$B$6:$B$25,0)),"")</f>
        <v>185000</v>
      </c>
      <c r="D19" s="15">
        <v>90000</v>
      </c>
      <c r="E19" s="15">
        <v>4</v>
      </c>
      <c r="F19" s="15">
        <v>61200</v>
      </c>
      <c r="G19" s="15">
        <v>56916</v>
      </c>
      <c r="H19" s="15" t="s">
        <v>84</v>
      </c>
    </row>
    <row r="20" spans="2:8" ht="15" customHeight="1" x14ac:dyDescent="0.2">
      <c r="B20" s="15" t="s">
        <v>71</v>
      </c>
      <c r="C20" s="16">
        <f>IFERROR(INDEX('1_Generation_Inventory'!$J$6:$J$25,MATCH(B20,'1_Generation_Inventory'!$B$6:$B$25,0)),"")</f>
        <v>124000</v>
      </c>
      <c r="D20" s="15">
        <v>60000</v>
      </c>
      <c r="E20" s="15">
        <v>3</v>
      </c>
      <c r="F20" s="15">
        <v>40800</v>
      </c>
      <c r="G20" s="15">
        <v>37944</v>
      </c>
      <c r="H20" s="15" t="s">
        <v>84</v>
      </c>
    </row>
    <row r="21" spans="2:8" ht="15" customHeight="1" x14ac:dyDescent="0.2">
      <c r="B21" s="15" t="s">
        <v>72</v>
      </c>
      <c r="C21" s="16">
        <f>IFERROR(INDEX('1_Generation_Inventory'!$J$6:$J$25,MATCH(B21,'1_Generation_Inventory'!$B$6:$B$25,0)),"")</f>
        <v>103000</v>
      </c>
      <c r="D21" s="15">
        <v>50000</v>
      </c>
      <c r="E21" s="15">
        <v>3</v>
      </c>
      <c r="F21" s="15">
        <v>34000</v>
      </c>
      <c r="G21" s="15">
        <v>31620</v>
      </c>
      <c r="H21" s="15" t="s">
        <v>84</v>
      </c>
    </row>
    <row r="22" spans="2:8" ht="15" customHeight="1" x14ac:dyDescent="0.2">
      <c r="B22" s="15" t="s">
        <v>73</v>
      </c>
      <c r="C22" s="16">
        <f>IFERROR(INDEX('1_Generation_Inventory'!$J$6:$J$25,MATCH(B22,'1_Generation_Inventory'!$B$6:$B$25,0)),"")</f>
        <v>143500</v>
      </c>
      <c r="D22" s="15">
        <v>70000</v>
      </c>
      <c r="E22" s="15">
        <v>3</v>
      </c>
      <c r="F22" s="15">
        <v>47600</v>
      </c>
      <c r="G22" s="15">
        <v>44268</v>
      </c>
      <c r="H22" s="15" t="s">
        <v>84</v>
      </c>
    </row>
    <row r="23" spans="2:8" ht="15" customHeight="1" x14ac:dyDescent="0.2">
      <c r="B23" s="15" t="s">
        <v>74</v>
      </c>
      <c r="C23" s="16">
        <f>IFERROR(INDEX('1_Generation_Inventory'!$J$6:$J$25,MATCH(B23,'1_Generation_Inventory'!$B$6:$B$25,0)),"")</f>
        <v>106000</v>
      </c>
      <c r="D23" s="15">
        <v>52000</v>
      </c>
      <c r="E23" s="15">
        <v>3</v>
      </c>
      <c r="F23" s="15">
        <v>35360</v>
      </c>
      <c r="G23" s="15">
        <v>32885</v>
      </c>
      <c r="H23" s="15" t="s">
        <v>84</v>
      </c>
    </row>
    <row r="24" spans="2:8" ht="15" customHeight="1" x14ac:dyDescent="0.2">
      <c r="B24" s="15"/>
      <c r="C24" s="16" t="str">
        <f>IFERROR(INDEX('1_Generation_Inventory'!$J$6:$J$25,MATCH(B24,'1_Generation_Inventory'!$B$6:$B$25,0)),"")</f>
        <v/>
      </c>
      <c r="D24" s="15"/>
      <c r="E24" s="15"/>
      <c r="F24" s="15"/>
      <c r="G24" s="15"/>
      <c r="H24" s="15"/>
    </row>
    <row r="25" spans="2:8" ht="15" customHeight="1" x14ac:dyDescent="0.2">
      <c r="B25" s="15"/>
      <c r="C25" s="16" t="str">
        <f>IFERROR(INDEX('1_Generation_Inventory'!$J$6:$J$25,MATCH(B25,'1_Generation_Inventory'!$B$6:$B$25,0)),"")</f>
        <v/>
      </c>
      <c r="D25" s="15"/>
      <c r="E25" s="15"/>
      <c r="F25" s="15"/>
      <c r="G25" s="15"/>
      <c r="H25" s="15"/>
    </row>
    <row r="27" spans="2:8" ht="15" customHeight="1" x14ac:dyDescent="0.2">
      <c r="B27" s="10" t="s">
        <v>75</v>
      </c>
      <c r="C27" s="10">
        <f>SUM(C6:C25)</f>
        <v>4525000</v>
      </c>
      <c r="D27" s="10">
        <f>SUM(D6:D25)</f>
        <v>2204000</v>
      </c>
      <c r="E27" s="10">
        <f>SUM(E6:E25)</f>
        <v>106</v>
      </c>
      <c r="F27" s="10">
        <f>SUM(F6:F25)</f>
        <v>1498720</v>
      </c>
      <c r="G27" s="10">
        <f>SUM(G6:G25)</f>
        <v>1393810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7.98046875" style="1" customWidth="1"/>
    <col min="3" max="3" width="22.05859375" style="1" customWidth="1"/>
    <col min="4" max="4" width="13.98828125" style="1" customWidth="1"/>
    <col min="5" max="5" width="16.0078125" style="1" customWidth="1"/>
    <col min="6" max="6" width="20.04296875" style="1" customWidth="1"/>
    <col min="7" max="8" width="18.0234375" style="1" customWidth="1"/>
  </cols>
  <sheetData>
    <row r="2" spans="1:8" ht="25.5" customHeight="1" x14ac:dyDescent="0.2">
      <c r="A2" s="22" t="s">
        <v>85</v>
      </c>
      <c r="B2" s="21"/>
      <c r="C2" s="21"/>
      <c r="D2" s="21"/>
      <c r="E2" s="21"/>
      <c r="F2" s="21"/>
      <c r="G2" s="21"/>
    </row>
    <row r="3" spans="1:8" ht="15" customHeight="1" x14ac:dyDescent="0.2">
      <c r="B3" s="24" t="s">
        <v>86</v>
      </c>
      <c r="C3" s="21"/>
      <c r="D3" s="21"/>
      <c r="E3" s="21"/>
      <c r="F3" s="21"/>
      <c r="G3" s="21"/>
      <c r="H3" s="21"/>
    </row>
    <row r="5" spans="1:8" ht="31.5" customHeight="1" x14ac:dyDescent="0.2">
      <c r="B5" s="2" t="s">
        <v>87</v>
      </c>
      <c r="C5" s="2" t="s">
        <v>88</v>
      </c>
      <c r="D5" s="2" t="s">
        <v>46</v>
      </c>
      <c r="E5" s="2" t="s">
        <v>89</v>
      </c>
      <c r="F5" s="2" t="s">
        <v>90</v>
      </c>
      <c r="G5" s="2" t="s">
        <v>91</v>
      </c>
      <c r="H5" s="2" t="s">
        <v>92</v>
      </c>
    </row>
    <row r="6" spans="1:8" ht="23.85" customHeight="1" x14ac:dyDescent="0.2">
      <c r="B6" s="14" t="s">
        <v>93</v>
      </c>
      <c r="C6" s="14" t="s">
        <v>94</v>
      </c>
      <c r="D6" s="14" t="s">
        <v>95</v>
      </c>
      <c r="E6" s="14">
        <v>120000</v>
      </c>
      <c r="F6" s="14">
        <v>108000</v>
      </c>
      <c r="G6" s="17">
        <v>0.9</v>
      </c>
      <c r="H6" s="14" t="s">
        <v>96</v>
      </c>
    </row>
    <row r="7" spans="1:8" ht="15" customHeight="1" x14ac:dyDescent="0.2">
      <c r="B7" s="15" t="s">
        <v>97</v>
      </c>
      <c r="C7" s="15" t="s">
        <v>98</v>
      </c>
      <c r="D7" s="15" t="s">
        <v>95</v>
      </c>
      <c r="E7" s="15">
        <v>85000</v>
      </c>
      <c r="F7" s="15">
        <v>76000</v>
      </c>
      <c r="G7" s="18">
        <v>0.89</v>
      </c>
      <c r="H7" s="15" t="s">
        <v>96</v>
      </c>
    </row>
    <row r="8" spans="1:8" ht="15" customHeight="1" x14ac:dyDescent="0.2">
      <c r="B8" s="15" t="s">
        <v>99</v>
      </c>
      <c r="C8" s="15" t="s">
        <v>100</v>
      </c>
      <c r="D8" s="15" t="s">
        <v>60</v>
      </c>
      <c r="E8" s="15">
        <v>45000</v>
      </c>
      <c r="F8" s="15">
        <v>39000</v>
      </c>
      <c r="G8" s="18">
        <v>0.87</v>
      </c>
      <c r="H8" s="15" t="s">
        <v>101</v>
      </c>
    </row>
    <row r="9" spans="1:8" ht="15" customHeight="1" x14ac:dyDescent="0.2">
      <c r="B9" s="15" t="s">
        <v>102</v>
      </c>
      <c r="C9" s="15" t="s">
        <v>103</v>
      </c>
      <c r="D9" s="15" t="s">
        <v>60</v>
      </c>
      <c r="E9" s="15">
        <v>30000</v>
      </c>
      <c r="F9" s="15">
        <v>25500</v>
      </c>
      <c r="G9" s="18">
        <v>0.85</v>
      </c>
      <c r="H9" s="15" t="s">
        <v>101</v>
      </c>
    </row>
    <row r="10" spans="1:8" ht="15" customHeight="1" x14ac:dyDescent="0.2">
      <c r="B10" s="15" t="s">
        <v>104</v>
      </c>
      <c r="C10" s="15" t="s">
        <v>105</v>
      </c>
      <c r="D10" s="15" t="s">
        <v>59</v>
      </c>
      <c r="E10" s="15">
        <v>25000</v>
      </c>
      <c r="F10" s="15">
        <v>22000</v>
      </c>
      <c r="G10" s="18">
        <v>0.88</v>
      </c>
      <c r="H10" s="15" t="s">
        <v>96</v>
      </c>
    </row>
    <row r="11" spans="1:8" ht="15" customHeight="1" x14ac:dyDescent="0.2">
      <c r="B11" s="15"/>
      <c r="C11" s="15"/>
      <c r="D11" s="15"/>
      <c r="E11" s="15"/>
      <c r="F11" s="15"/>
      <c r="G11" s="18"/>
      <c r="H11" s="15"/>
    </row>
    <row r="12" spans="1:8" ht="15" customHeight="1" x14ac:dyDescent="0.2">
      <c r="B12" s="15"/>
      <c r="C12" s="15"/>
      <c r="D12" s="15"/>
      <c r="E12" s="15"/>
      <c r="F12" s="15"/>
      <c r="G12" s="18"/>
      <c r="H12" s="15"/>
    </row>
    <row r="13" spans="1:8" ht="15" customHeight="1" x14ac:dyDescent="0.2">
      <c r="B13" s="15"/>
      <c r="C13" s="15"/>
      <c r="D13" s="15"/>
      <c r="E13" s="15"/>
      <c r="F13" s="15"/>
      <c r="G13" s="18"/>
      <c r="H13" s="15"/>
    </row>
    <row r="14" spans="1:8" ht="15" customHeight="1" x14ac:dyDescent="0.2">
      <c r="B14" s="15"/>
      <c r="C14" s="15"/>
      <c r="D14" s="15"/>
      <c r="E14" s="15"/>
      <c r="F14" s="15"/>
      <c r="G14" s="18"/>
      <c r="H14" s="15"/>
    </row>
    <row r="15" spans="1:8" ht="15" customHeight="1" x14ac:dyDescent="0.2">
      <c r="B15" s="15"/>
      <c r="C15" s="15"/>
      <c r="D15" s="15"/>
      <c r="E15" s="15"/>
      <c r="F15" s="15"/>
      <c r="G15" s="18"/>
      <c r="H15" s="15"/>
    </row>
    <row r="16" spans="1:8" ht="15" customHeight="1" x14ac:dyDescent="0.2">
      <c r="B16" s="15"/>
      <c r="C16" s="15"/>
      <c r="D16" s="15"/>
      <c r="E16" s="15"/>
      <c r="F16" s="15"/>
      <c r="G16" s="18"/>
      <c r="H16" s="15"/>
    </row>
    <row r="17" spans="2:8" ht="15" customHeight="1" x14ac:dyDescent="0.2">
      <c r="B17" s="15"/>
      <c r="C17" s="15"/>
      <c r="D17" s="15"/>
      <c r="E17" s="15"/>
      <c r="F17" s="15"/>
      <c r="G17" s="18"/>
      <c r="H17" s="15"/>
    </row>
    <row r="18" spans="2:8" ht="15" customHeight="1" x14ac:dyDescent="0.2">
      <c r="B18" s="15"/>
      <c r="C18" s="15"/>
      <c r="D18" s="15"/>
      <c r="E18" s="15"/>
      <c r="F18" s="15"/>
      <c r="G18" s="18"/>
      <c r="H18" s="15"/>
    </row>
    <row r="19" spans="2:8" ht="15" customHeight="1" x14ac:dyDescent="0.2">
      <c r="B19" s="15"/>
      <c r="C19" s="15"/>
      <c r="D19" s="15"/>
      <c r="E19" s="15"/>
      <c r="F19" s="15"/>
      <c r="G19" s="18"/>
      <c r="H19" s="15"/>
    </row>
    <row r="20" spans="2:8" ht="15" customHeight="1" x14ac:dyDescent="0.2">
      <c r="B20" s="15"/>
      <c r="C20" s="15"/>
      <c r="D20" s="15"/>
      <c r="E20" s="15"/>
      <c r="F20" s="15"/>
      <c r="G20" s="18"/>
      <c r="H20" s="15"/>
    </row>
    <row r="21" spans="2:8" ht="15" customHeight="1" x14ac:dyDescent="0.2">
      <c r="B21" s="15"/>
      <c r="C21" s="15"/>
      <c r="D21" s="15"/>
      <c r="E21" s="15"/>
      <c r="F21" s="15"/>
      <c r="G21" s="18"/>
      <c r="H21" s="15"/>
    </row>
    <row r="22" spans="2:8" ht="15" customHeight="1" x14ac:dyDescent="0.2">
      <c r="B22" s="15"/>
      <c r="C22" s="15"/>
      <c r="D22" s="15"/>
      <c r="E22" s="15"/>
      <c r="F22" s="15"/>
      <c r="G22" s="18"/>
      <c r="H22" s="15"/>
    </row>
    <row r="23" spans="2:8" ht="15" customHeight="1" x14ac:dyDescent="0.2">
      <c r="B23" s="15"/>
      <c r="C23" s="15"/>
      <c r="D23" s="15"/>
      <c r="E23" s="15"/>
      <c r="F23" s="15"/>
      <c r="G23" s="18"/>
      <c r="H23" s="15"/>
    </row>
    <row r="24" spans="2:8" ht="15" customHeight="1" x14ac:dyDescent="0.2">
      <c r="B24" s="15"/>
      <c r="C24" s="15"/>
      <c r="D24" s="15"/>
      <c r="E24" s="15"/>
      <c r="F24" s="15"/>
      <c r="G24" s="18"/>
      <c r="H24" s="15"/>
    </row>
    <row r="25" spans="2:8" ht="15" customHeight="1" x14ac:dyDescent="0.2">
      <c r="B25" s="15"/>
      <c r="C25" s="15"/>
      <c r="D25" s="15"/>
      <c r="E25" s="15"/>
      <c r="F25" s="15"/>
      <c r="G25" s="18"/>
      <c r="H25" s="15"/>
    </row>
    <row r="26" spans="2:8" ht="15" customHeight="1" x14ac:dyDescent="0.2">
      <c r="B26" s="15"/>
      <c r="C26" s="15"/>
      <c r="D26" s="15"/>
      <c r="E26" s="15"/>
      <c r="F26" s="15"/>
      <c r="G26" s="18"/>
      <c r="H26" s="15"/>
    </row>
    <row r="28" spans="2:8" ht="15" customHeight="1" x14ac:dyDescent="0.2">
      <c r="B28" s="10" t="s">
        <v>75</v>
      </c>
      <c r="D28" s="10">
        <f>SUM(D6:D26)</f>
        <v>0</v>
      </c>
      <c r="E28" s="10">
        <f>SUM(E6:E26)</f>
        <v>305000</v>
      </c>
      <c r="F28" s="19">
        <f>IFERROR(AVERAGE(F6:F26),0)</f>
        <v>54100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5.9609375" style="1" customWidth="1"/>
    <col min="3" max="3" width="20.04296875" style="1" customWidth="1"/>
    <col min="4" max="4" width="18.0234375" style="1" customWidth="1"/>
    <col min="5" max="5" width="16.0078125" style="1" customWidth="1"/>
    <col min="6" max="6" width="18.0234375" style="1" customWidth="1"/>
    <col min="7" max="7" width="22.05859375" style="1" customWidth="1"/>
    <col min="8" max="8" width="18.0234375" style="1" customWidth="1"/>
    <col min="9" max="9" width="27.98046875" style="1" customWidth="1"/>
  </cols>
  <sheetData>
    <row r="2" spans="1:9" ht="25.5" customHeight="1" x14ac:dyDescent="0.2">
      <c r="A2" s="22" t="s">
        <v>106</v>
      </c>
      <c r="B2" s="21"/>
      <c r="C2" s="21"/>
      <c r="D2" s="21"/>
      <c r="E2" s="21"/>
      <c r="F2" s="21"/>
      <c r="G2" s="21"/>
      <c r="H2" s="21"/>
    </row>
    <row r="3" spans="1:9" ht="15" customHeight="1" x14ac:dyDescent="0.2">
      <c r="B3" s="24" t="s">
        <v>107</v>
      </c>
      <c r="C3" s="21"/>
      <c r="D3" s="21"/>
      <c r="E3" s="21"/>
      <c r="F3" s="21"/>
      <c r="G3" s="21"/>
      <c r="H3" s="21"/>
      <c r="I3" s="21"/>
    </row>
    <row r="5" spans="1:9" ht="31.5" customHeight="1" x14ac:dyDescent="0.2">
      <c r="B5" s="2" t="s">
        <v>108</v>
      </c>
      <c r="C5" s="2" t="s">
        <v>109</v>
      </c>
      <c r="D5" s="2" t="s">
        <v>110</v>
      </c>
      <c r="E5" s="2" t="s">
        <v>111</v>
      </c>
      <c r="F5" s="2" t="s">
        <v>112</v>
      </c>
      <c r="G5" s="2" t="s">
        <v>113</v>
      </c>
      <c r="H5" s="2" t="s">
        <v>114</v>
      </c>
      <c r="I5" s="2" t="s">
        <v>83</v>
      </c>
    </row>
    <row r="6" spans="1:9" ht="15" customHeight="1" x14ac:dyDescent="0.2">
      <c r="B6" s="14" t="s">
        <v>115</v>
      </c>
      <c r="C6" s="14" t="s">
        <v>116</v>
      </c>
      <c r="D6" s="14" t="s">
        <v>117</v>
      </c>
      <c r="E6" s="14" t="s">
        <v>118</v>
      </c>
      <c r="F6" s="14" t="s">
        <v>118</v>
      </c>
      <c r="G6" s="14" t="s">
        <v>119</v>
      </c>
      <c r="H6" s="14" t="s">
        <v>120</v>
      </c>
      <c r="I6" s="14" t="s">
        <v>121</v>
      </c>
    </row>
    <row r="7" spans="1:9" ht="15" customHeight="1" x14ac:dyDescent="0.2">
      <c r="B7" s="15" t="s">
        <v>122</v>
      </c>
      <c r="C7" s="15" t="s">
        <v>123</v>
      </c>
      <c r="D7" s="15" t="s">
        <v>117</v>
      </c>
      <c r="E7" s="15" t="s">
        <v>118</v>
      </c>
      <c r="F7" s="15" t="s">
        <v>118</v>
      </c>
      <c r="G7" s="15" t="s">
        <v>119</v>
      </c>
      <c r="H7" s="15" t="s">
        <v>120</v>
      </c>
      <c r="I7" s="15"/>
    </row>
    <row r="8" spans="1:9" ht="15" customHeight="1" x14ac:dyDescent="0.2">
      <c r="B8" s="15" t="s">
        <v>124</v>
      </c>
      <c r="C8" s="15" t="s">
        <v>125</v>
      </c>
      <c r="D8" s="15" t="s">
        <v>117</v>
      </c>
      <c r="E8" s="15" t="s">
        <v>118</v>
      </c>
      <c r="F8" s="15" t="s">
        <v>118</v>
      </c>
      <c r="G8" s="15" t="s">
        <v>119</v>
      </c>
      <c r="H8" s="15" t="s">
        <v>120</v>
      </c>
      <c r="I8" s="15"/>
    </row>
    <row r="9" spans="1:9" ht="15" customHeight="1" x14ac:dyDescent="0.2">
      <c r="B9" s="15" t="s">
        <v>126</v>
      </c>
      <c r="C9" s="15" t="s">
        <v>127</v>
      </c>
      <c r="D9" s="15" t="s">
        <v>117</v>
      </c>
      <c r="E9" s="15" t="s">
        <v>118</v>
      </c>
      <c r="F9" s="15" t="s">
        <v>118</v>
      </c>
      <c r="G9" s="15" t="s">
        <v>119</v>
      </c>
      <c r="H9" s="15" t="s">
        <v>120</v>
      </c>
      <c r="I9" s="15"/>
    </row>
    <row r="10" spans="1:9" ht="15" customHeight="1" x14ac:dyDescent="0.2">
      <c r="B10" s="15" t="s">
        <v>128</v>
      </c>
      <c r="C10" s="15" t="s">
        <v>129</v>
      </c>
      <c r="D10" s="15" t="s">
        <v>117</v>
      </c>
      <c r="E10" s="15" t="s">
        <v>118</v>
      </c>
      <c r="F10" s="15" t="s">
        <v>118</v>
      </c>
      <c r="G10" s="15" t="s">
        <v>119</v>
      </c>
      <c r="H10" s="15" t="s">
        <v>120</v>
      </c>
      <c r="I10" s="15"/>
    </row>
    <row r="11" spans="1:9" ht="15" customHeight="1" x14ac:dyDescent="0.2">
      <c r="B11" s="15" t="s">
        <v>130</v>
      </c>
      <c r="C11" s="15" t="s">
        <v>131</v>
      </c>
      <c r="D11" s="15" t="s">
        <v>117</v>
      </c>
      <c r="E11" s="15" t="s">
        <v>118</v>
      </c>
      <c r="F11" s="15" t="s">
        <v>118</v>
      </c>
      <c r="G11" s="15" t="s">
        <v>119</v>
      </c>
      <c r="H11" s="15" t="s">
        <v>120</v>
      </c>
      <c r="I11" s="15"/>
    </row>
    <row r="12" spans="1:9" ht="15" customHeight="1" x14ac:dyDescent="0.2">
      <c r="B12" s="15" t="s">
        <v>132</v>
      </c>
      <c r="C12" s="15" t="s">
        <v>133</v>
      </c>
      <c r="D12" s="15" t="s">
        <v>117</v>
      </c>
      <c r="E12" s="15" t="s">
        <v>118</v>
      </c>
      <c r="F12" s="15" t="s">
        <v>118</v>
      </c>
      <c r="G12" s="15" t="s">
        <v>119</v>
      </c>
      <c r="H12" s="15" t="s">
        <v>120</v>
      </c>
      <c r="I12" s="15"/>
    </row>
    <row r="13" spans="1:9" ht="15" customHeight="1" x14ac:dyDescent="0.2">
      <c r="B13" s="15" t="s">
        <v>134</v>
      </c>
      <c r="C13" s="15" t="s">
        <v>135</v>
      </c>
      <c r="D13" s="15" t="s">
        <v>117</v>
      </c>
      <c r="E13" s="15" t="s">
        <v>118</v>
      </c>
      <c r="F13" s="15" t="s">
        <v>118</v>
      </c>
      <c r="G13" s="15" t="s">
        <v>119</v>
      </c>
      <c r="H13" s="15" t="s">
        <v>120</v>
      </c>
      <c r="I13" s="15"/>
    </row>
    <row r="14" spans="1:9" ht="15" customHeight="1" x14ac:dyDescent="0.2">
      <c r="B14" s="15" t="s">
        <v>136</v>
      </c>
      <c r="C14" s="15" t="s">
        <v>137</v>
      </c>
      <c r="D14" s="15" t="s">
        <v>117</v>
      </c>
      <c r="E14" s="15" t="s">
        <v>118</v>
      </c>
      <c r="F14" s="15" t="s">
        <v>118</v>
      </c>
      <c r="G14" s="15" t="s">
        <v>119</v>
      </c>
      <c r="H14" s="15" t="s">
        <v>120</v>
      </c>
      <c r="I14" s="15"/>
    </row>
    <row r="15" spans="1:9" ht="15" customHeight="1" x14ac:dyDescent="0.2">
      <c r="B15" s="15" t="s">
        <v>138</v>
      </c>
      <c r="C15" s="15" t="s">
        <v>139</v>
      </c>
      <c r="D15" s="15" t="s">
        <v>117</v>
      </c>
      <c r="E15" s="15" t="s">
        <v>118</v>
      </c>
      <c r="F15" s="15" t="s">
        <v>118</v>
      </c>
      <c r="G15" s="15" t="s">
        <v>119</v>
      </c>
      <c r="H15" s="15" t="s">
        <v>120</v>
      </c>
      <c r="I15" s="15"/>
    </row>
    <row r="16" spans="1:9" ht="15" customHeight="1" x14ac:dyDescent="0.2">
      <c r="B16" s="15" t="s">
        <v>140</v>
      </c>
      <c r="C16" s="15" t="s">
        <v>141</v>
      </c>
      <c r="D16" s="15" t="s">
        <v>117</v>
      </c>
      <c r="E16" s="15" t="s">
        <v>118</v>
      </c>
      <c r="F16" s="15" t="s">
        <v>118</v>
      </c>
      <c r="G16" s="15" t="s">
        <v>119</v>
      </c>
      <c r="H16" s="15" t="s">
        <v>120</v>
      </c>
      <c r="I16" s="15"/>
    </row>
    <row r="17" spans="2:9" ht="15" customHeight="1" x14ac:dyDescent="0.2">
      <c r="B17" s="15" t="s">
        <v>142</v>
      </c>
      <c r="C17" s="15" t="s">
        <v>143</v>
      </c>
      <c r="D17" s="15" t="s">
        <v>117</v>
      </c>
      <c r="E17" s="15" t="s">
        <v>118</v>
      </c>
      <c r="F17" s="15" t="s">
        <v>118</v>
      </c>
      <c r="G17" s="15" t="s">
        <v>119</v>
      </c>
      <c r="H17" s="15" t="s">
        <v>120</v>
      </c>
      <c r="I17" s="15"/>
    </row>
    <row r="18" spans="2:9" ht="15" customHeight="1" x14ac:dyDescent="0.2">
      <c r="B18" s="15" t="s">
        <v>144</v>
      </c>
      <c r="C18" s="15" t="s">
        <v>145</v>
      </c>
      <c r="D18" s="15" t="s">
        <v>117</v>
      </c>
      <c r="E18" s="15" t="s">
        <v>118</v>
      </c>
      <c r="F18" s="15" t="s">
        <v>118</v>
      </c>
      <c r="G18" s="15" t="s">
        <v>119</v>
      </c>
      <c r="H18" s="15" t="s">
        <v>120</v>
      </c>
      <c r="I18" s="15"/>
    </row>
    <row r="19" spans="2:9" ht="15" customHeight="1" x14ac:dyDescent="0.2">
      <c r="B19" s="15" t="s">
        <v>146</v>
      </c>
      <c r="C19" s="15" t="s">
        <v>147</v>
      </c>
      <c r="D19" s="15" t="s">
        <v>117</v>
      </c>
      <c r="E19" s="15" t="s">
        <v>118</v>
      </c>
      <c r="F19" s="15" t="s">
        <v>118</v>
      </c>
      <c r="G19" s="15" t="s">
        <v>119</v>
      </c>
      <c r="H19" s="15" t="s">
        <v>120</v>
      </c>
      <c r="I19" s="15"/>
    </row>
    <row r="20" spans="2:9" ht="15" customHeight="1" x14ac:dyDescent="0.2">
      <c r="B20" s="15" t="s">
        <v>148</v>
      </c>
      <c r="C20" s="15" t="s">
        <v>149</v>
      </c>
      <c r="D20" s="15" t="s">
        <v>117</v>
      </c>
      <c r="E20" s="15" t="s">
        <v>118</v>
      </c>
      <c r="F20" s="15" t="s">
        <v>118</v>
      </c>
      <c r="G20" s="15" t="s">
        <v>119</v>
      </c>
      <c r="H20" s="15" t="s">
        <v>120</v>
      </c>
      <c r="I20" s="15"/>
    </row>
    <row r="21" spans="2:9" ht="15" customHeight="1" x14ac:dyDescent="0.2">
      <c r="B21" s="15" t="s">
        <v>150</v>
      </c>
      <c r="C21" s="15" t="s">
        <v>151</v>
      </c>
      <c r="D21" s="15" t="s">
        <v>152</v>
      </c>
      <c r="E21" s="15" t="s">
        <v>118</v>
      </c>
      <c r="F21" s="15" t="s">
        <v>118</v>
      </c>
      <c r="G21" s="15" t="s">
        <v>119</v>
      </c>
      <c r="H21" s="15" t="s">
        <v>120</v>
      </c>
      <c r="I21" s="15"/>
    </row>
    <row r="22" spans="2:9" ht="15" customHeight="1" x14ac:dyDescent="0.2">
      <c r="B22" s="15" t="s">
        <v>153</v>
      </c>
      <c r="C22" s="15" t="s">
        <v>154</v>
      </c>
      <c r="D22" s="15" t="s">
        <v>152</v>
      </c>
      <c r="E22" s="15" t="s">
        <v>118</v>
      </c>
      <c r="F22" s="15" t="s">
        <v>118</v>
      </c>
      <c r="G22" s="15" t="s">
        <v>119</v>
      </c>
      <c r="H22" s="15" t="s">
        <v>120</v>
      </c>
      <c r="I22" s="15"/>
    </row>
    <row r="23" spans="2:9" ht="15" customHeight="1" x14ac:dyDescent="0.2">
      <c r="B23" s="15" t="s">
        <v>155</v>
      </c>
      <c r="C23" s="15" t="s">
        <v>156</v>
      </c>
      <c r="D23" s="15" t="s">
        <v>152</v>
      </c>
      <c r="E23" s="15" t="s">
        <v>118</v>
      </c>
      <c r="F23" s="15" t="s">
        <v>118</v>
      </c>
      <c r="G23" s="15" t="s">
        <v>119</v>
      </c>
      <c r="H23" s="15" t="s">
        <v>120</v>
      </c>
      <c r="I23" s="15"/>
    </row>
    <row r="24" spans="2:9" ht="15" customHeight="1" x14ac:dyDescent="0.2">
      <c r="B24" s="15"/>
      <c r="C24" s="15"/>
      <c r="D24" s="15"/>
      <c r="E24" s="15"/>
      <c r="F24" s="15"/>
      <c r="G24" s="15"/>
      <c r="H24" s="15"/>
      <c r="I24" s="15"/>
    </row>
    <row r="25" spans="2:9" ht="15" customHeight="1" x14ac:dyDescent="0.2">
      <c r="B25" s="15"/>
      <c r="C25" s="15"/>
      <c r="D25" s="15"/>
      <c r="E25" s="15"/>
      <c r="F25" s="15"/>
      <c r="G25" s="15"/>
      <c r="H25" s="15"/>
      <c r="I25" s="15"/>
    </row>
    <row r="26" spans="2:9" ht="15" customHeight="1" x14ac:dyDescent="0.2">
      <c r="B26" s="15"/>
      <c r="C26" s="15"/>
      <c r="D26" s="15"/>
      <c r="E26" s="15"/>
      <c r="F26" s="15"/>
      <c r="G26" s="15"/>
      <c r="H26" s="15"/>
      <c r="I26" s="15"/>
    </row>
    <row r="28" spans="2:9" ht="15" customHeight="1" x14ac:dyDescent="0.2">
      <c r="B28" s="10" t="s">
        <v>117</v>
      </c>
      <c r="C28" s="10">
        <f>COUNTIF(D6:D26,"Compliant")</f>
        <v>15</v>
      </c>
    </row>
    <row r="29" spans="2:9" ht="15" customHeight="1" x14ac:dyDescent="0.2">
      <c r="B29" s="10" t="s">
        <v>157</v>
      </c>
      <c r="C29" s="10">
        <f>COUNTA(B6:B26)</f>
        <v>18</v>
      </c>
    </row>
    <row r="30" spans="2:9" ht="15" customHeight="1" x14ac:dyDescent="0.2">
      <c r="B30" s="10" t="s">
        <v>158</v>
      </c>
      <c r="C30" s="10">
        <f>COUNTIF(E6:E26,"Yes")</f>
        <v>18</v>
      </c>
    </row>
    <row r="31" spans="2:9" ht="15" customHeight="1" x14ac:dyDescent="0.2">
      <c r="B31" s="10" t="s">
        <v>159</v>
      </c>
      <c r="C31" s="10">
        <f>COUNTIF(F6:F26,"Yes")</f>
        <v>18</v>
      </c>
    </row>
    <row r="32" spans="2:9" ht="15" customHeight="1" x14ac:dyDescent="0.2">
      <c r="B32" s="10" t="s">
        <v>160</v>
      </c>
      <c r="C32" s="10">
        <f>COUNTIF(G6:G26,"Yes")</f>
        <v>0</v>
      </c>
    </row>
    <row r="33" spans="2:3" ht="15" customHeight="1" x14ac:dyDescent="0.2">
      <c r="B33" s="10" t="s">
        <v>161</v>
      </c>
      <c r="C33" s="10">
        <f>COUNTIF(H6:H26,"Yes")</f>
        <v>0</v>
      </c>
    </row>
  </sheetData>
  <mergeCells count="2">
    <mergeCell ref="B3:I3"/>
    <mergeCell ref="A2:H2"/>
  </mergeCells>
  <dataValidations count="2">
    <dataValidation type="list" allowBlank="1" sqref="D7:D26" xr:uid="{00000000-0002-0000-0500-000000000000}">
      <formula1>"Compliant,Non-compliant,Under Review"</formula1>
      <formula2>0</formula2>
    </dataValidation>
    <dataValidation type="list" allowBlank="1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9.99609375" style="1" customWidth="1"/>
    <col min="3" max="3" width="16.0078125" style="1" customWidth="1"/>
    <col min="4" max="5" width="20.04296875" style="1" customWidth="1"/>
    <col min="6" max="6" width="22.05859375" style="1" customWidth="1"/>
    <col min="7" max="7" width="32.015625" style="1" customWidth="1"/>
    <col min="8" max="8" width="23.9453125" style="1" customWidth="1"/>
  </cols>
  <sheetData>
    <row r="2" spans="1:8" ht="25.5" customHeight="1" x14ac:dyDescent="0.2">
      <c r="A2" s="22" t="s">
        <v>162</v>
      </c>
      <c r="B2" s="21"/>
      <c r="C2" s="21"/>
      <c r="D2" s="21"/>
      <c r="E2" s="21"/>
      <c r="F2" s="21"/>
      <c r="G2" s="21"/>
    </row>
    <row r="3" spans="1:8" ht="15" customHeight="1" x14ac:dyDescent="0.2">
      <c r="B3" s="24" t="s">
        <v>163</v>
      </c>
      <c r="C3" s="21"/>
      <c r="D3" s="21"/>
      <c r="E3" s="21"/>
      <c r="F3" s="21"/>
      <c r="G3" s="21"/>
      <c r="H3" s="21"/>
    </row>
    <row r="5" spans="1:8" ht="31.5" customHeight="1" x14ac:dyDescent="0.2">
      <c r="B5" s="2" t="s">
        <v>164</v>
      </c>
      <c r="C5" s="2" t="s">
        <v>46</v>
      </c>
      <c r="D5" s="2" t="s">
        <v>165</v>
      </c>
      <c r="E5" s="2" t="s">
        <v>166</v>
      </c>
      <c r="F5" s="2" t="s">
        <v>167</v>
      </c>
      <c r="G5" s="2" t="s">
        <v>168</v>
      </c>
      <c r="H5" s="2" t="s">
        <v>83</v>
      </c>
    </row>
    <row r="6" spans="1:8" ht="35.1" customHeight="1" x14ac:dyDescent="0.2">
      <c r="B6" s="14" t="s">
        <v>169</v>
      </c>
      <c r="C6" s="14" t="s">
        <v>95</v>
      </c>
      <c r="D6" s="14" t="s">
        <v>170</v>
      </c>
      <c r="E6" s="14">
        <v>500</v>
      </c>
      <c r="F6" s="14">
        <v>280</v>
      </c>
      <c r="G6" s="14" t="s">
        <v>171</v>
      </c>
      <c r="H6" s="14" t="s">
        <v>172</v>
      </c>
    </row>
    <row r="7" spans="1:8" ht="15" customHeight="1" x14ac:dyDescent="0.2">
      <c r="B7" s="15" t="s">
        <v>173</v>
      </c>
      <c r="C7" s="15" t="s">
        <v>95</v>
      </c>
      <c r="D7" s="15" t="s">
        <v>170</v>
      </c>
      <c r="E7" s="15">
        <v>220</v>
      </c>
      <c r="F7" s="15">
        <v>120</v>
      </c>
      <c r="G7" s="15"/>
      <c r="H7" s="15"/>
    </row>
    <row r="8" spans="1:8" ht="15" customHeight="1" x14ac:dyDescent="0.2">
      <c r="B8" s="15" t="s">
        <v>174</v>
      </c>
      <c r="C8" s="15" t="s">
        <v>59</v>
      </c>
      <c r="D8" s="15" t="s">
        <v>170</v>
      </c>
      <c r="E8" s="15">
        <v>350</v>
      </c>
      <c r="F8" s="15">
        <v>180</v>
      </c>
      <c r="G8" s="15"/>
      <c r="H8" s="15"/>
    </row>
    <row r="9" spans="1:8" ht="15" customHeight="1" x14ac:dyDescent="0.2">
      <c r="B9" s="15" t="s">
        <v>175</v>
      </c>
      <c r="C9" s="15" t="s">
        <v>60</v>
      </c>
      <c r="D9" s="15" t="s">
        <v>176</v>
      </c>
      <c r="E9" s="15">
        <v>140</v>
      </c>
      <c r="F9" s="15">
        <v>140</v>
      </c>
      <c r="G9" s="15"/>
      <c r="H9" s="15"/>
    </row>
    <row r="10" spans="1:8" ht="15" customHeight="1" x14ac:dyDescent="0.2">
      <c r="B10" s="15" t="s">
        <v>177</v>
      </c>
      <c r="C10" s="15" t="s">
        <v>60</v>
      </c>
      <c r="D10" s="15" t="s">
        <v>176</v>
      </c>
      <c r="E10" s="15">
        <v>120</v>
      </c>
      <c r="F10" s="15">
        <v>120</v>
      </c>
      <c r="G10" s="15"/>
      <c r="H10" s="15"/>
    </row>
    <row r="11" spans="1:8" ht="15" customHeight="1" x14ac:dyDescent="0.2">
      <c r="B11" s="15" t="s">
        <v>178</v>
      </c>
      <c r="C11" s="15" t="s">
        <v>61</v>
      </c>
      <c r="D11" s="15" t="s">
        <v>170</v>
      </c>
      <c r="E11" s="15">
        <v>110</v>
      </c>
      <c r="F11" s="15">
        <v>60</v>
      </c>
      <c r="G11" s="15"/>
      <c r="H11" s="15"/>
    </row>
    <row r="12" spans="1:8" ht="15" customHeight="1" x14ac:dyDescent="0.2">
      <c r="B12" s="15" t="s">
        <v>179</v>
      </c>
      <c r="C12" s="15" t="s">
        <v>62</v>
      </c>
      <c r="D12" s="15" t="s">
        <v>176</v>
      </c>
      <c r="E12" s="15">
        <v>90</v>
      </c>
      <c r="F12" s="15">
        <v>90</v>
      </c>
      <c r="G12" s="15"/>
      <c r="H12" s="15"/>
    </row>
    <row r="13" spans="1:8" ht="15" customHeight="1" x14ac:dyDescent="0.2">
      <c r="B13" s="15" t="s">
        <v>180</v>
      </c>
      <c r="C13" s="15" t="s">
        <v>64</v>
      </c>
      <c r="D13" s="15" t="s">
        <v>170</v>
      </c>
      <c r="E13" s="15">
        <v>160</v>
      </c>
      <c r="F13" s="15">
        <v>80</v>
      </c>
      <c r="G13" s="15"/>
      <c r="H13" s="15"/>
    </row>
    <row r="14" spans="1:8" ht="15" customHeight="1" x14ac:dyDescent="0.2">
      <c r="B14" s="15"/>
      <c r="C14" s="15"/>
      <c r="D14" s="15"/>
      <c r="E14" s="15"/>
      <c r="F14" s="15"/>
      <c r="G14" s="15"/>
      <c r="H14" s="15"/>
    </row>
    <row r="15" spans="1:8" ht="15" customHeight="1" x14ac:dyDescent="0.2">
      <c r="B15" s="15"/>
      <c r="C15" s="15"/>
      <c r="D15" s="15"/>
      <c r="E15" s="15"/>
      <c r="F15" s="15"/>
      <c r="G15" s="15"/>
      <c r="H15" s="15"/>
    </row>
    <row r="16" spans="1:8" ht="15" customHeight="1" x14ac:dyDescent="0.2">
      <c r="B16" s="15"/>
      <c r="C16" s="15"/>
      <c r="D16" s="15"/>
      <c r="E16" s="15"/>
      <c r="F16" s="15"/>
      <c r="G16" s="15"/>
      <c r="H16" s="15"/>
    </row>
    <row r="17" spans="2:8" ht="15" customHeight="1" x14ac:dyDescent="0.2">
      <c r="B17" s="15"/>
      <c r="C17" s="15"/>
      <c r="D17" s="15"/>
      <c r="E17" s="15"/>
      <c r="F17" s="15"/>
      <c r="G17" s="15"/>
      <c r="H17" s="15"/>
    </row>
    <row r="18" spans="2:8" ht="15" customHeight="1" x14ac:dyDescent="0.2">
      <c r="B18" s="15"/>
      <c r="C18" s="15"/>
      <c r="D18" s="15"/>
      <c r="E18" s="15"/>
      <c r="F18" s="15"/>
      <c r="G18" s="15"/>
      <c r="H18" s="15"/>
    </row>
    <row r="19" spans="2:8" ht="15" customHeight="1" x14ac:dyDescent="0.2">
      <c r="B19" s="15"/>
      <c r="C19" s="15"/>
      <c r="D19" s="15"/>
      <c r="E19" s="15"/>
      <c r="F19" s="15"/>
      <c r="G19" s="15"/>
      <c r="H19" s="15"/>
    </row>
    <row r="20" spans="2:8" ht="15" customHeight="1" x14ac:dyDescent="0.2">
      <c r="B20" s="15"/>
      <c r="C20" s="15"/>
      <c r="D20" s="15"/>
      <c r="E20" s="15"/>
      <c r="F20" s="15"/>
      <c r="G20" s="15"/>
      <c r="H20" s="15"/>
    </row>
    <row r="21" spans="2:8" ht="15" customHeight="1" x14ac:dyDescent="0.2">
      <c r="B21" s="15"/>
      <c r="C21" s="15"/>
      <c r="D21" s="15"/>
      <c r="E21" s="15"/>
      <c r="F21" s="15"/>
      <c r="G21" s="15"/>
      <c r="H21" s="15"/>
    </row>
    <row r="22" spans="2:8" ht="15" customHeight="1" x14ac:dyDescent="0.2">
      <c r="B22" s="15"/>
      <c r="C22" s="15"/>
      <c r="D22" s="15"/>
      <c r="E22" s="15"/>
      <c r="F22" s="15"/>
      <c r="G22" s="15"/>
      <c r="H22" s="15"/>
    </row>
    <row r="23" spans="2:8" ht="15" customHeight="1" x14ac:dyDescent="0.2">
      <c r="B23" s="15"/>
      <c r="C23" s="15"/>
      <c r="D23" s="15"/>
      <c r="E23" s="15"/>
      <c r="F23" s="15"/>
      <c r="G23" s="15"/>
      <c r="H23" s="15"/>
    </row>
    <row r="24" spans="2:8" ht="15" customHeight="1" x14ac:dyDescent="0.2">
      <c r="B24" s="15"/>
      <c r="C24" s="15"/>
      <c r="D24" s="15"/>
      <c r="E24" s="15"/>
      <c r="F24" s="15"/>
      <c r="G24" s="15"/>
      <c r="H24" s="15"/>
    </row>
    <row r="25" spans="2:8" ht="15" customHeight="1" x14ac:dyDescent="0.2">
      <c r="B25" s="15"/>
      <c r="C25" s="15"/>
      <c r="D25" s="15"/>
      <c r="E25" s="15"/>
      <c r="F25" s="15"/>
      <c r="G25" s="15"/>
      <c r="H25" s="15"/>
    </row>
    <row r="26" spans="2:8" ht="15" customHeight="1" x14ac:dyDescent="0.2">
      <c r="B26" s="15"/>
      <c r="C26" s="15"/>
      <c r="D26" s="15"/>
      <c r="E26" s="15"/>
      <c r="F26" s="15"/>
      <c r="G26" s="15"/>
      <c r="H26" s="15"/>
    </row>
    <row r="28" spans="2:8" ht="15" customHeight="1" x14ac:dyDescent="0.2">
      <c r="B28" s="10" t="s">
        <v>181</v>
      </c>
      <c r="C28" s="10">
        <f>COUNTA(B6:B26)</f>
        <v>8</v>
      </c>
    </row>
    <row r="29" spans="2:8" ht="15" customHeight="1" x14ac:dyDescent="0.2">
      <c r="B29" s="10" t="s">
        <v>182</v>
      </c>
      <c r="C29" s="10">
        <f>COUNTIF(D6:D26,"Formalized")+COUNTIF(D6:D26,"Remediated")</f>
        <v>3</v>
      </c>
    </row>
    <row r="30" spans="2:8" ht="15" customHeight="1" x14ac:dyDescent="0.2">
      <c r="B30" s="10" t="s">
        <v>183</v>
      </c>
      <c r="C30" s="10">
        <f>SUM(E6:E26)</f>
        <v>1690</v>
      </c>
    </row>
    <row r="31" spans="2:8" ht="15" customHeight="1" x14ac:dyDescent="0.2">
      <c r="B31" s="10" t="s">
        <v>184</v>
      </c>
      <c r="C31" s="10">
        <f>SUM(F6:F26)</f>
        <v>1070</v>
      </c>
    </row>
  </sheetData>
  <mergeCells count="2">
    <mergeCell ref="B3:H3"/>
    <mergeCell ref="A2:G2"/>
  </mergeCells>
  <dataValidations count="1">
    <dataValidation type="list" allowBlank="1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/>
    </sheetView>
  </sheetViews>
  <sheetFormatPr defaultColWidth="8.7421875" defaultRowHeight="15" x14ac:dyDescent="0.2"/>
  <cols>
    <col min="1" max="1" width="2.95703125" style="1" customWidth="1"/>
    <col min="2" max="2" width="27.98046875" style="1" customWidth="1"/>
    <col min="3" max="3" width="16.0078125" style="1" customWidth="1"/>
    <col min="4" max="4" width="18.0234375" style="1" customWidth="1"/>
    <col min="5" max="5" width="13.98828125" style="1" customWidth="1"/>
    <col min="6" max="6" width="22.05859375" style="1" customWidth="1"/>
    <col min="7" max="7" width="20.04296875" style="1" customWidth="1"/>
    <col min="8" max="8" width="18.0234375" style="1" customWidth="1"/>
    <col min="9" max="9" width="29.99609375" style="1" customWidth="1"/>
  </cols>
  <sheetData>
    <row r="2" spans="1:9" ht="25.5" customHeight="1" x14ac:dyDescent="0.2">
      <c r="A2" s="22" t="s">
        <v>185</v>
      </c>
      <c r="B2" s="21"/>
      <c r="C2" s="21"/>
      <c r="D2" s="21"/>
      <c r="E2" s="21"/>
      <c r="F2" s="21"/>
      <c r="G2" s="21"/>
      <c r="H2" s="21"/>
    </row>
    <row r="3" spans="1:9" ht="15" customHeight="1" x14ac:dyDescent="0.2">
      <c r="B3" s="24" t="s">
        <v>186</v>
      </c>
      <c r="C3" s="21"/>
      <c r="D3" s="21"/>
      <c r="E3" s="21"/>
      <c r="F3" s="21"/>
      <c r="G3" s="21"/>
      <c r="H3" s="21"/>
      <c r="I3" s="21"/>
    </row>
    <row r="5" spans="1:9" ht="31.5" customHeight="1" x14ac:dyDescent="0.2">
      <c r="B5" s="2" t="s">
        <v>187</v>
      </c>
      <c r="C5" s="2" t="s">
        <v>46</v>
      </c>
      <c r="D5" s="2" t="s">
        <v>188</v>
      </c>
      <c r="E5" s="2" t="s">
        <v>189</v>
      </c>
      <c r="F5" s="2" t="s">
        <v>190</v>
      </c>
      <c r="G5" s="2" t="s">
        <v>191</v>
      </c>
      <c r="H5" s="2" t="s">
        <v>192</v>
      </c>
      <c r="I5" s="2" t="s">
        <v>83</v>
      </c>
    </row>
    <row r="6" spans="1:9" ht="23.85" customHeight="1" x14ac:dyDescent="0.2">
      <c r="B6" s="14" t="s">
        <v>169</v>
      </c>
      <c r="C6" s="14" t="s">
        <v>95</v>
      </c>
      <c r="D6" s="14" t="s">
        <v>193</v>
      </c>
      <c r="E6" s="14" t="s">
        <v>194</v>
      </c>
      <c r="F6" s="14" t="s">
        <v>195</v>
      </c>
      <c r="G6" s="14" t="s">
        <v>118</v>
      </c>
      <c r="H6" s="14">
        <v>350</v>
      </c>
      <c r="I6" s="14" t="s">
        <v>196</v>
      </c>
    </row>
    <row r="7" spans="1:9" ht="15" customHeight="1" x14ac:dyDescent="0.2">
      <c r="B7" s="15" t="s">
        <v>174</v>
      </c>
      <c r="C7" s="15" t="s">
        <v>59</v>
      </c>
      <c r="D7" s="15" t="s">
        <v>197</v>
      </c>
      <c r="E7" s="15" t="s">
        <v>198</v>
      </c>
      <c r="F7" s="15" t="s">
        <v>195</v>
      </c>
      <c r="G7" s="15" t="s">
        <v>118</v>
      </c>
      <c r="H7" s="15">
        <v>280</v>
      </c>
      <c r="I7" s="15"/>
    </row>
    <row r="8" spans="1:9" ht="15" customHeight="1" x14ac:dyDescent="0.2">
      <c r="B8" s="15" t="s">
        <v>175</v>
      </c>
      <c r="C8" s="15" t="s">
        <v>60</v>
      </c>
      <c r="D8" s="15" t="s">
        <v>199</v>
      </c>
      <c r="E8" s="15" t="s">
        <v>200</v>
      </c>
      <c r="F8" s="15" t="s">
        <v>195</v>
      </c>
      <c r="G8" s="15" t="s">
        <v>118</v>
      </c>
      <c r="H8" s="15">
        <v>140</v>
      </c>
      <c r="I8" s="15"/>
    </row>
    <row r="9" spans="1:9" ht="15" customHeight="1" x14ac:dyDescent="0.2">
      <c r="B9" s="15" t="s">
        <v>178</v>
      </c>
      <c r="C9" s="15" t="s">
        <v>61</v>
      </c>
      <c r="D9" s="15" t="s">
        <v>201</v>
      </c>
      <c r="E9" s="15" t="s">
        <v>202</v>
      </c>
      <c r="F9" s="15" t="s">
        <v>195</v>
      </c>
      <c r="G9" s="15" t="s">
        <v>118</v>
      </c>
      <c r="H9" s="15">
        <v>110</v>
      </c>
      <c r="I9" s="15"/>
    </row>
    <row r="10" spans="1:9" ht="15" customHeight="1" x14ac:dyDescent="0.2">
      <c r="B10" s="15" t="s">
        <v>179</v>
      </c>
      <c r="C10" s="15" t="s">
        <v>62</v>
      </c>
      <c r="D10" s="15" t="s">
        <v>193</v>
      </c>
      <c r="E10" s="15" t="s">
        <v>203</v>
      </c>
      <c r="F10" s="15" t="s">
        <v>195</v>
      </c>
      <c r="G10" s="15" t="s">
        <v>118</v>
      </c>
      <c r="H10" s="15">
        <v>90</v>
      </c>
      <c r="I10" s="15"/>
    </row>
    <row r="11" spans="1:9" ht="15" customHeight="1" x14ac:dyDescent="0.2">
      <c r="B11" s="15"/>
      <c r="C11" s="15"/>
      <c r="D11" s="15"/>
      <c r="E11" s="15"/>
      <c r="F11" s="15"/>
      <c r="G11" s="15"/>
      <c r="H11" s="15"/>
      <c r="I11" s="15"/>
    </row>
    <row r="12" spans="1:9" ht="15" customHeight="1" x14ac:dyDescent="0.2">
      <c r="B12" s="15"/>
      <c r="C12" s="15"/>
      <c r="D12" s="15"/>
      <c r="E12" s="15"/>
      <c r="F12" s="15"/>
      <c r="G12" s="15"/>
      <c r="H12" s="15"/>
      <c r="I12" s="15"/>
    </row>
    <row r="13" spans="1:9" ht="15" customHeight="1" x14ac:dyDescent="0.2">
      <c r="B13" s="15"/>
      <c r="C13" s="15"/>
      <c r="D13" s="15"/>
      <c r="E13" s="15"/>
      <c r="F13" s="15"/>
      <c r="G13" s="15"/>
      <c r="H13" s="15"/>
      <c r="I13" s="15"/>
    </row>
    <row r="14" spans="1:9" ht="15" customHeight="1" x14ac:dyDescent="0.2">
      <c r="B14" s="15"/>
      <c r="C14" s="15"/>
      <c r="D14" s="15"/>
      <c r="E14" s="15"/>
      <c r="F14" s="15"/>
      <c r="G14" s="15"/>
      <c r="H14" s="15"/>
      <c r="I14" s="15"/>
    </row>
    <row r="15" spans="1:9" ht="15" customHeight="1" x14ac:dyDescent="0.2">
      <c r="B15" s="15"/>
      <c r="C15" s="15"/>
      <c r="D15" s="15"/>
      <c r="E15" s="15"/>
      <c r="F15" s="15"/>
      <c r="G15" s="15"/>
      <c r="H15" s="15"/>
      <c r="I15" s="15"/>
    </row>
    <row r="16" spans="1:9" ht="15" customHeight="1" x14ac:dyDescent="0.2">
      <c r="B16" s="15"/>
      <c r="C16" s="15"/>
      <c r="D16" s="15"/>
      <c r="E16" s="15"/>
      <c r="F16" s="15"/>
      <c r="G16" s="15"/>
      <c r="H16" s="15"/>
      <c r="I16" s="15"/>
    </row>
    <row r="17" spans="2:9" ht="15" customHeight="1" x14ac:dyDescent="0.2">
      <c r="B17" s="15"/>
      <c r="C17" s="15"/>
      <c r="D17" s="15"/>
      <c r="E17" s="15"/>
      <c r="F17" s="15"/>
      <c r="G17" s="15"/>
      <c r="H17" s="15"/>
      <c r="I17" s="15"/>
    </row>
    <row r="18" spans="2:9" ht="15" customHeight="1" x14ac:dyDescent="0.2">
      <c r="B18" s="15"/>
      <c r="C18" s="15"/>
      <c r="D18" s="15"/>
      <c r="E18" s="15"/>
      <c r="F18" s="15"/>
      <c r="G18" s="15"/>
      <c r="H18" s="15"/>
      <c r="I18" s="15"/>
    </row>
    <row r="19" spans="2:9" ht="15" customHeight="1" x14ac:dyDescent="0.2">
      <c r="B19" s="15"/>
      <c r="C19" s="15"/>
      <c r="D19" s="15"/>
      <c r="E19" s="15"/>
      <c r="F19" s="15"/>
      <c r="G19" s="15"/>
      <c r="H19" s="15"/>
      <c r="I19" s="15"/>
    </row>
    <row r="20" spans="2:9" ht="15" customHeight="1" x14ac:dyDescent="0.2">
      <c r="B20" s="15"/>
      <c r="C20" s="15"/>
      <c r="D20" s="15"/>
      <c r="E20" s="15"/>
      <c r="F20" s="15"/>
      <c r="G20" s="15"/>
      <c r="H20" s="15"/>
      <c r="I20" s="15"/>
    </row>
    <row r="21" spans="2:9" ht="15" customHeight="1" x14ac:dyDescent="0.2">
      <c r="B21" s="15"/>
      <c r="C21" s="15"/>
      <c r="D21" s="15"/>
      <c r="E21" s="15"/>
      <c r="F21" s="15"/>
      <c r="G21" s="15"/>
      <c r="H21" s="15"/>
      <c r="I21" s="15"/>
    </row>
    <row r="22" spans="2:9" ht="15" customHeight="1" x14ac:dyDescent="0.2">
      <c r="B22" s="15"/>
      <c r="C22" s="15"/>
      <c r="D22" s="15"/>
      <c r="E22" s="15"/>
      <c r="F22" s="15"/>
      <c r="G22" s="15"/>
      <c r="H22" s="15"/>
      <c r="I22" s="15"/>
    </row>
    <row r="23" spans="2:9" ht="15" customHeight="1" x14ac:dyDescent="0.2">
      <c r="B23" s="15"/>
      <c r="C23" s="15"/>
      <c r="D23" s="15"/>
      <c r="E23" s="15"/>
      <c r="F23" s="15"/>
      <c r="G23" s="15"/>
      <c r="H23" s="15"/>
      <c r="I23" s="15"/>
    </row>
    <row r="24" spans="2:9" ht="15" customHeight="1" x14ac:dyDescent="0.2">
      <c r="B24" s="15"/>
      <c r="C24" s="15"/>
      <c r="D24" s="15"/>
      <c r="E24" s="15"/>
      <c r="F24" s="15"/>
      <c r="G24" s="15"/>
      <c r="H24" s="15"/>
      <c r="I24" s="15"/>
    </row>
    <row r="25" spans="2:9" ht="15" customHeight="1" x14ac:dyDescent="0.2">
      <c r="B25" s="15"/>
      <c r="C25" s="15"/>
      <c r="D25" s="15"/>
      <c r="E25" s="15"/>
      <c r="F25" s="15"/>
      <c r="G25" s="15"/>
      <c r="H25" s="15"/>
      <c r="I25" s="15"/>
    </row>
    <row r="26" spans="2:9" ht="15" customHeight="1" x14ac:dyDescent="0.2">
      <c r="B26" s="15"/>
      <c r="C26" s="15"/>
      <c r="D26" s="15"/>
      <c r="E26" s="15"/>
      <c r="F26" s="15"/>
      <c r="G26" s="15"/>
      <c r="H26" s="15"/>
      <c r="I26" s="15"/>
    </row>
    <row r="28" spans="2:9" ht="15" customHeight="1" x14ac:dyDescent="0.2">
      <c r="B28" s="10" t="s">
        <v>204</v>
      </c>
      <c r="C28" s="10">
        <f>SUMPRODUCT((B6:B26&lt;&gt;"")/COUNTIF(B6:B26,B6:B26&amp;""))</f>
        <v>5</v>
      </c>
    </row>
    <row r="29" spans="2:9" ht="15" customHeight="1" x14ac:dyDescent="0.2">
      <c r="B29" s="10" t="s">
        <v>205</v>
      </c>
      <c r="C29" s="10">
        <f>COUNTIF(F6:F26,"Yes")</f>
        <v>0</v>
      </c>
    </row>
    <row r="30" spans="2:9" ht="15" customHeight="1" x14ac:dyDescent="0.2">
      <c r="B30" s="10" t="s">
        <v>206</v>
      </c>
      <c r="C30" s="10">
        <f>SUM(G6:G26)</f>
        <v>0</v>
      </c>
    </row>
  </sheetData>
  <mergeCells count="2">
    <mergeCell ref="B3:I3"/>
    <mergeCell ref="A2:H2"/>
  </mergeCells>
  <dataValidations count="3">
    <dataValidation type="list" allowBlank="1" sqref="D7:D26" xr:uid="{00000000-0002-0000-0700-000000000000}">
      <formula1>"Soil,Water,Air,Soil + Water,Soil + Water + Air"</formula1>
      <formula2>0</formula2>
    </dataValidation>
    <dataValidation type="list" allowBlank="1" sqref="E7:E26" xr:uid="{00000000-0002-0000-0700-000001000000}">
      <formula1>"Within Limit,Exceeds Limit,Pending Analysis"</formula1>
      <formula2>0</formula2>
    </dataValidation>
    <dataValidation type="list" allowBlank="1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tabSelected="1" zoomScaleNormal="100" workbookViewId="0">
      <pane xSplit="2" ySplit="6" topLeftCell="C7" activePane="bottomRight" state="frozen"/>
      <selection pane="bottomLeft" activeCell="A7" sqref="A7"/>
      <selection pane="topRight" activeCell="C1" sqref="C1"/>
      <selection pane="bottomRight" activeCell="C35" sqref="C35"/>
    </sheetView>
  </sheetViews>
  <sheetFormatPr defaultColWidth="8.7421875" defaultRowHeight="15" x14ac:dyDescent="0.2"/>
  <cols>
    <col min="1" max="1" width="2.95703125" style="1" customWidth="1"/>
    <col min="2" max="2" width="29.99609375" style="1" customWidth="1"/>
    <col min="3" max="4" width="16.0078125" style="1" customWidth="1"/>
    <col min="5" max="6" width="22.05859375" style="1" customWidth="1"/>
    <col min="7" max="7" width="20.04296875" style="1" customWidth="1"/>
  </cols>
  <sheetData>
    <row r="2" spans="1:7" ht="25.5" customHeight="1" x14ac:dyDescent="0.2">
      <c r="A2" s="22" t="s">
        <v>207</v>
      </c>
      <c r="B2" s="21"/>
      <c r="C2" s="21"/>
      <c r="D2" s="21"/>
      <c r="E2" s="21"/>
      <c r="F2" s="21"/>
    </row>
    <row r="3" spans="1:7" ht="15" customHeight="1" x14ac:dyDescent="0.2">
      <c r="B3" s="24" t="s">
        <v>208</v>
      </c>
      <c r="C3" s="21"/>
      <c r="D3" s="21"/>
      <c r="E3" s="21"/>
      <c r="F3" s="21"/>
      <c r="G3" s="21"/>
    </row>
    <row r="5" spans="1:7" ht="31.5" customHeight="1" x14ac:dyDescent="0.2">
      <c r="B5" s="2" t="s">
        <v>209</v>
      </c>
      <c r="C5" s="2" t="s">
        <v>46</v>
      </c>
      <c r="D5" s="2" t="s">
        <v>189</v>
      </c>
      <c r="E5" s="2" t="s">
        <v>210</v>
      </c>
      <c r="F5" s="2" t="s">
        <v>211</v>
      </c>
      <c r="G5" s="2" t="s">
        <v>212</v>
      </c>
    </row>
    <row r="6" spans="1:7" ht="15" customHeight="1" x14ac:dyDescent="0.2">
      <c r="B6" s="14" t="s">
        <v>213</v>
      </c>
      <c r="C6" s="14" t="s">
        <v>95</v>
      </c>
      <c r="D6" s="14" t="s">
        <v>214</v>
      </c>
      <c r="E6" s="14" t="s">
        <v>215</v>
      </c>
      <c r="F6" s="14" t="s">
        <v>216</v>
      </c>
      <c r="G6" s="14">
        <v>5000</v>
      </c>
    </row>
    <row r="7" spans="1:7" ht="15" customHeight="1" x14ac:dyDescent="0.2">
      <c r="B7" s="15" t="s">
        <v>217</v>
      </c>
      <c r="C7" s="15" t="s">
        <v>95</v>
      </c>
      <c r="D7" s="15" t="s">
        <v>218</v>
      </c>
      <c r="E7" s="15" t="s">
        <v>219</v>
      </c>
      <c r="F7" s="15" t="s">
        <v>216</v>
      </c>
      <c r="G7" s="15">
        <v>8000</v>
      </c>
    </row>
    <row r="8" spans="1:7" ht="15" customHeight="1" x14ac:dyDescent="0.2">
      <c r="B8" s="15" t="s">
        <v>220</v>
      </c>
      <c r="C8" s="15" t="s">
        <v>60</v>
      </c>
      <c r="D8" s="15" t="s">
        <v>221</v>
      </c>
      <c r="E8" s="15" t="s">
        <v>222</v>
      </c>
      <c r="F8" s="15" t="s">
        <v>223</v>
      </c>
      <c r="G8" s="15">
        <v>2500</v>
      </c>
    </row>
    <row r="9" spans="1:7" ht="15" customHeight="1" x14ac:dyDescent="0.2">
      <c r="B9" s="15" t="s">
        <v>220</v>
      </c>
      <c r="C9" s="15" t="s">
        <v>61</v>
      </c>
      <c r="D9" s="15" t="s">
        <v>224</v>
      </c>
      <c r="E9" s="15" t="s">
        <v>222</v>
      </c>
      <c r="F9" s="15" t="s">
        <v>223</v>
      </c>
      <c r="G9" s="15">
        <v>1800</v>
      </c>
    </row>
    <row r="10" spans="1:7" ht="15" customHeight="1" x14ac:dyDescent="0.2">
      <c r="B10" s="15" t="s">
        <v>225</v>
      </c>
      <c r="C10" s="15" t="s">
        <v>95</v>
      </c>
      <c r="D10" s="15" t="s">
        <v>226</v>
      </c>
      <c r="E10" s="15" t="s">
        <v>227</v>
      </c>
      <c r="F10" s="15" t="s">
        <v>228</v>
      </c>
      <c r="G10" s="15">
        <v>6000</v>
      </c>
    </row>
    <row r="11" spans="1:7" ht="15" customHeight="1" x14ac:dyDescent="0.2">
      <c r="B11" s="15" t="s">
        <v>229</v>
      </c>
      <c r="C11" s="15" t="s">
        <v>59</v>
      </c>
      <c r="D11" s="15" t="s">
        <v>230</v>
      </c>
      <c r="E11" s="15" t="s">
        <v>215</v>
      </c>
      <c r="F11" s="15" t="s">
        <v>231</v>
      </c>
      <c r="G11" s="15">
        <v>2200</v>
      </c>
    </row>
    <row r="12" spans="1:7" ht="15" customHeight="1" x14ac:dyDescent="0.2">
      <c r="B12" s="15" t="s">
        <v>232</v>
      </c>
      <c r="C12" s="15" t="s">
        <v>60</v>
      </c>
      <c r="D12" s="15" t="s">
        <v>233</v>
      </c>
      <c r="E12" s="15" t="s">
        <v>215</v>
      </c>
      <c r="F12" s="15" t="s">
        <v>234</v>
      </c>
      <c r="G12" s="15">
        <v>3200</v>
      </c>
    </row>
    <row r="13" spans="1:7" ht="15" customHeight="1" x14ac:dyDescent="0.2">
      <c r="B13" s="15" t="s">
        <v>235</v>
      </c>
      <c r="C13" s="15" t="s">
        <v>62</v>
      </c>
      <c r="D13" s="15" t="s">
        <v>236</v>
      </c>
      <c r="E13" s="15" t="s">
        <v>237</v>
      </c>
      <c r="F13" s="15" t="s">
        <v>223</v>
      </c>
      <c r="G13" s="15">
        <v>1700</v>
      </c>
    </row>
    <row r="14" spans="1:7" ht="15" customHeight="1" x14ac:dyDescent="0.2">
      <c r="B14" s="15" t="s">
        <v>238</v>
      </c>
      <c r="C14" s="15" t="s">
        <v>61</v>
      </c>
      <c r="D14" s="15" t="s">
        <v>239</v>
      </c>
      <c r="E14" s="15" t="s">
        <v>215</v>
      </c>
      <c r="F14" s="15" t="s">
        <v>216</v>
      </c>
      <c r="G14" s="15">
        <v>2100</v>
      </c>
    </row>
    <row r="15" spans="1:7" ht="15" customHeight="1" x14ac:dyDescent="0.2">
      <c r="B15" s="15" t="s">
        <v>240</v>
      </c>
      <c r="C15" s="15" t="s">
        <v>241</v>
      </c>
      <c r="D15" s="15" t="s">
        <v>242</v>
      </c>
      <c r="E15" s="15" t="s">
        <v>243</v>
      </c>
      <c r="F15" s="15" t="s">
        <v>228</v>
      </c>
      <c r="G15" s="15">
        <v>25000</v>
      </c>
    </row>
    <row r="16" spans="1:7" ht="15" customHeight="1" x14ac:dyDescent="0.2">
      <c r="B16" s="15"/>
      <c r="C16" s="15"/>
      <c r="D16" s="15"/>
      <c r="E16" s="15"/>
      <c r="F16" s="15"/>
      <c r="G16" s="15"/>
    </row>
    <row r="17" spans="2:7" ht="15" customHeight="1" x14ac:dyDescent="0.2">
      <c r="B17" s="15"/>
      <c r="C17" s="15"/>
      <c r="D17" s="15"/>
      <c r="E17" s="15"/>
      <c r="F17" s="15"/>
      <c r="G17" s="15"/>
    </row>
    <row r="18" spans="2:7" ht="15" customHeight="1" x14ac:dyDescent="0.2">
      <c r="B18" s="15"/>
      <c r="C18" s="15"/>
      <c r="D18" s="15"/>
      <c r="E18" s="15"/>
      <c r="F18" s="15"/>
      <c r="G18" s="15"/>
    </row>
    <row r="19" spans="2:7" ht="15" customHeight="1" x14ac:dyDescent="0.2">
      <c r="B19" s="15"/>
      <c r="C19" s="15"/>
      <c r="D19" s="15"/>
      <c r="E19" s="15"/>
      <c r="F19" s="15"/>
      <c r="G19" s="15"/>
    </row>
    <row r="20" spans="2:7" ht="15" customHeight="1" x14ac:dyDescent="0.2">
      <c r="B20" s="15"/>
      <c r="C20" s="15"/>
      <c r="D20" s="15"/>
      <c r="E20" s="15"/>
      <c r="F20" s="15"/>
      <c r="G20" s="15"/>
    </row>
    <row r="21" spans="2:7" ht="15" customHeight="1" x14ac:dyDescent="0.2">
      <c r="B21" s="15"/>
      <c r="C21" s="15"/>
      <c r="D21" s="15"/>
      <c r="E21" s="15"/>
      <c r="F21" s="15"/>
      <c r="G21" s="15"/>
    </row>
    <row r="22" spans="2:7" ht="15" customHeight="1" x14ac:dyDescent="0.2">
      <c r="B22" s="15"/>
      <c r="C22" s="15"/>
      <c r="D22" s="15"/>
      <c r="E22" s="15"/>
      <c r="F22" s="15"/>
      <c r="G22" s="15"/>
    </row>
    <row r="23" spans="2:7" ht="15" customHeight="1" x14ac:dyDescent="0.2">
      <c r="B23" s="15"/>
      <c r="C23" s="15"/>
      <c r="D23" s="15"/>
      <c r="E23" s="15"/>
      <c r="F23" s="15"/>
      <c r="G23" s="15"/>
    </row>
    <row r="24" spans="2:7" ht="15" customHeight="1" x14ac:dyDescent="0.2">
      <c r="B24" s="15"/>
      <c r="C24" s="15"/>
      <c r="D24" s="15"/>
      <c r="E24" s="15"/>
      <c r="F24" s="15"/>
      <c r="G24" s="15"/>
    </row>
    <row r="25" spans="2:7" ht="15" customHeight="1" x14ac:dyDescent="0.2">
      <c r="B25" s="15"/>
      <c r="C25" s="15"/>
      <c r="D25" s="15"/>
      <c r="E25" s="15"/>
      <c r="F25" s="15"/>
      <c r="G25" s="15"/>
    </row>
    <row r="26" spans="2:7" ht="15" customHeight="1" x14ac:dyDescent="0.2">
      <c r="B26" s="15"/>
      <c r="C26" s="15"/>
      <c r="D26" s="15"/>
      <c r="E26" s="15"/>
      <c r="F26" s="15"/>
      <c r="G26" s="15"/>
    </row>
    <row r="28" spans="2:7" ht="15" customHeight="1" x14ac:dyDescent="0.2">
      <c r="B28" s="10" t="s">
        <v>244</v>
      </c>
      <c r="C28" s="10">
        <f>COUNTA(B6:B26)</f>
        <v>10</v>
      </c>
    </row>
    <row r="29" spans="2:7" ht="15" customHeight="1" x14ac:dyDescent="0.2">
      <c r="B29" s="10" t="s">
        <v>245</v>
      </c>
      <c r="C29" s="10">
        <f>COUNTIF(D6:D26,"School Collection Drive")+COUNTIF(D6:D26,"RWA/Community Drive")</f>
        <v>0</v>
      </c>
    </row>
    <row r="30" spans="2:7" ht="15" customHeight="1" x14ac:dyDescent="0.2">
      <c r="B30" s="10" t="s">
        <v>246</v>
      </c>
      <c r="C30" s="10">
        <f>SUM(F6:F26)</f>
        <v>0</v>
      </c>
    </row>
  </sheetData>
  <mergeCells count="2">
    <mergeCell ref="B3:G3"/>
    <mergeCell ref="A2:F2"/>
  </mergeCells>
  <dataValidations count="1">
    <dataValidation type="list" allowBlank="1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2B01344E-1009-4241-8E27-05FD3132154B}"/>
</file>

<file path=customXml/itemProps2.xml><?xml version="1.0" encoding="utf-8"?>
<ds:datastoreItem xmlns:ds="http://schemas.openxmlformats.org/officeDocument/2006/customXml" ds:itemID="{7481BC98-43BE-4757-A983-5F80F068CAED}"/>
</file>

<file path=customXml/itemProps3.xml><?xml version="1.0" encoding="utf-8"?>
<ds:datastoreItem xmlns:ds="http://schemas.openxmlformats.org/officeDocument/2006/customXml" ds:itemID="{F66665C6-6146-43AE-A6F2-CEE04F444ED4}"/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2026-07-16T04:20:02Z</dcterms:created>
  <dcterms:modified xsi:type="dcterms:W3CDTF">2026-07-16T05:25:42Z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